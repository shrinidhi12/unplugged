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nues" sheetId="1" state="visible" r:id="rId3"/>
    <sheet name="Reference Log" sheetId="2" state="visible" r:id="rId4"/>
    <sheet name="About" sheetId="3" state="visible" r:id="rId5"/>
  </sheets>
  <definedNames>
    <definedName function="false" hidden="true" localSheetId="1" name="_xlnm._FilterDatabase" vbProcedure="false">'Reference Log'!$A$1:$J$797</definedName>
    <definedName function="false" hidden="true" localSheetId="0" name="_xlnm._FilterDatabase" vbProcedure="false">Venues!$A$4:$L$172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<sst xmlns="http://schemas.openxmlformats.org/spreadsheetml/2006/main" count="6429" uniqueCount="1032">
  <si>
    <t xml:space="preserve">NYC Off Tech — Event Venues &amp; Places</t>
  </si>
  <si>
    <t xml:space="preserve">All 27 issues, Oct 2, 2025 – Oct 16, 2026 · 796 venue references · 168 distinct venues/places. Counts and dates are live formulas on the Reference Log tab.</t>
  </si>
  <si>
    <t xml:space="preserve">Rank</t>
  </si>
  <si>
    <t xml:space="preserve">Venue / place</t>
  </si>
  <si>
    <t xml:space="preserve">Type</t>
  </si>
  <si>
    <t xml:space="preserve">Area / address</t>
  </si>
  <si>
    <t xml:space="preserve">Times referenced (event listings)</t>
  </si>
  <si>
    <t xml:space="preserve">Issues referencing</t>
  </si>
  <si>
    <t xml:space="preserve">First referenced (issue)</t>
  </si>
  <si>
    <t xml:space="preserve">Most recent reference (issue)</t>
  </si>
  <si>
    <t xml:space="preserve">Latest event date listed</t>
  </si>
  <si>
    <t xml:space="preserve">Most recent event listed</t>
  </si>
  <si>
    <t xml:space="preserve">Most common host</t>
  </si>
  <si>
    <t xml:space="preserve">Host listings (top / with host named)</t>
  </si>
  <si>
    <t xml:space="preserve">Tompkins Square Park</t>
  </si>
  <si>
    <t xml:space="preserve">Park / public space</t>
  </si>
  <si>
    <t xml:space="preserve">East Village, Manhattan</t>
  </si>
  <si>
    <t xml:space="preserve">Tompkins Distro (weekly)</t>
  </si>
  <si>
    <t xml:space="preserve">Summer of Ludd</t>
  </si>
  <si>
    <t xml:space="preserve">57 of 88</t>
  </si>
  <si>
    <t xml:space="preserve">Strother School of Radical Attention (SoRA)</t>
  </si>
  <si>
    <t xml:space="preserve">Arts / community space</t>
  </si>
  <si>
    <t xml:space="preserve">DUMBO, Brooklyn (listed as 'DUMBO')</t>
  </si>
  <si>
    <t xml:space="preserve">The Dance of an Open Mind: Toni Morrison's Radical Attentions</t>
  </si>
  <si>
    <t xml:space="preserve">School of Radical Attention (SoRA)</t>
  </si>
  <si>
    <t xml:space="preserve">57 of 65</t>
  </si>
  <si>
    <t xml:space="preserve">Stavros Niarchos Foundation Library (NYPL)</t>
  </si>
  <si>
    <t xml:space="preserve">Library</t>
  </si>
  <si>
    <t xml:space="preserve">Midtown, Manhattan</t>
  </si>
  <si>
    <t xml:space="preserve">Crafternoon (weekly)</t>
  </si>
  <si>
    <t xml:space="preserve">NYPL Offline Book Club</t>
  </si>
  <si>
    <t xml:space="preserve">21 of 43</t>
  </si>
  <si>
    <t xml:space="preserve">Undisclosed address — Crown Heights</t>
  </si>
  <si>
    <t xml:space="preserve">Undisclosed (neighborhood only)</t>
  </si>
  <si>
    <t xml:space="preserve">Crown Heights</t>
  </si>
  <si>
    <t xml:space="preserve">Crown Heights Silent Reading (weekly)</t>
  </si>
  <si>
    <t xml:space="preserve">Connor Griffin</t>
  </si>
  <si>
    <t xml:space="preserve">20 of 26</t>
  </si>
  <si>
    <t xml:space="preserve">Prospect Park (incl. Boathouse, Fallkill Falls, Rose Garden)</t>
  </si>
  <si>
    <t xml:space="preserve">Brooklyn</t>
  </si>
  <si>
    <t xml:space="preserve">Pirates of Prospect Park Annual Treasure Hunt</t>
  </si>
  <si>
    <t xml:space="preserve">Kyle Barnes / Chimeras Collective</t>
  </si>
  <si>
    <t xml:space="preserve">6 of 15</t>
  </si>
  <si>
    <t xml:space="preserve">15th Street Quaker Meeting House (15 Rutherford Pl.)</t>
  </si>
  <si>
    <t xml:space="preserve">Church / meeting house</t>
  </si>
  <si>
    <t xml:space="preserve">Stuyvesant Square, Manhattan</t>
  </si>
  <si>
    <t xml:space="preserve">The Art of Leonard Peltier Comes to NYC</t>
  </si>
  <si>
    <t xml:space="preserve">9 of 21</t>
  </si>
  <si>
    <t xml:space="preserve">Undisclosed address — Bushwick</t>
  </si>
  <si>
    <t xml:space="preserve">Bushwick</t>
  </si>
  <si>
    <t xml:space="preserve">Songwriting Circle</t>
  </si>
  <si>
    <t xml:space="preserve">Rebecca Lipsitch (How Do We Play)</t>
  </si>
  <si>
    <t xml:space="preserve">14 of 21</t>
  </si>
  <si>
    <t xml:space="preserve">Washington Square Park</t>
  </si>
  <si>
    <t xml:space="preserve">Greenwich Village, Manhattan</t>
  </si>
  <si>
    <t xml:space="preserve">Washington Square Mass Read-in</t>
  </si>
  <si>
    <t xml:space="preserve">Young People's Alliance &amp; friends (tied, 5 hosts)</t>
  </si>
  <si>
    <t xml:space="preserve">2 of 16</t>
  </si>
  <si>
    <t xml:space="preserve">telos.haus</t>
  </si>
  <si>
    <t xml:space="preserve">MO Gallery Exhibition (Free Offline Expo)</t>
  </si>
  <si>
    <t xml:space="preserve">NYC offline community (Let's Get Off Together)</t>
  </si>
  <si>
    <t xml:space="preserve">7 of 19</t>
  </si>
  <si>
    <t xml:space="preserve">Fort Greene Park</t>
  </si>
  <si>
    <t xml:space="preserve">Fort Greene, Brooklyn</t>
  </si>
  <si>
    <t xml:space="preserve">Falling Leaves Moon</t>
  </si>
  <si>
    <t xml:space="preserve">4 of 9</t>
  </si>
  <si>
    <t xml:space="preserve">Undisclosed address — Fort Greene</t>
  </si>
  <si>
    <t xml:space="preserve">Fort Greene</t>
  </si>
  <si>
    <t xml:space="preserve">Phone-Free Adelphi (weekly)</t>
  </si>
  <si>
    <t xml:space="preserve">Dan Fox (Phone-Free Adelphi)</t>
  </si>
  <si>
    <t xml:space="preserve">17 of 17</t>
  </si>
  <si>
    <t xml:space="preserve">Brooklyn Public Library – Central Library</t>
  </si>
  <si>
    <t xml:space="preserve">Grand Army Plaza, Brooklyn</t>
  </si>
  <si>
    <t xml:space="preserve">AI and You</t>
  </si>
  <si>
    <t xml:space="preserve">Brooklyn Luddite Club</t>
  </si>
  <si>
    <t xml:space="preserve">6 of 13</t>
  </si>
  <si>
    <t xml:space="preserve">Cornerstone Makerspace (incl. Little City Studio)</t>
  </si>
  <si>
    <t xml:space="preserve">178 Bennett Ave., Washington Heights</t>
  </si>
  <si>
    <t xml:space="preserve">Sewing Repair Café</t>
  </si>
  <si>
    <t xml:space="preserve">Cornerstone Makerspace</t>
  </si>
  <si>
    <t xml:space="preserve">10 of 10</t>
  </si>
  <si>
    <t xml:space="preserve">875 Third Ave. (POPS, Lower Level)</t>
  </si>
  <si>
    <t xml:space="preserve">Midtown East, Manhattan</t>
  </si>
  <si>
    <t xml:space="preserve">Unplatform ORGANIZER MEETUP</t>
  </si>
  <si>
    <t xml:space="preserve">Unplatform</t>
  </si>
  <si>
    <t xml:space="preserve">7 of 8</t>
  </si>
  <si>
    <t xml:space="preserve">Columbia University (incl. The Forum / Bollinger Forum)</t>
  </si>
  <si>
    <t xml:space="preserve">University</t>
  </si>
  <si>
    <t xml:space="preserve">Morningside Heights, Manhattan</t>
  </si>
  <si>
    <t xml:space="preserve">Brown Institute Media Party</t>
  </si>
  <si>
    <t xml:space="preserve">Brown Institute</t>
  </si>
  <si>
    <t xml:space="preserve">2 of 3</t>
  </si>
  <si>
    <t xml:space="preserve">Jefferson Market Library (NYPL)</t>
  </si>
  <si>
    <t xml:space="preserve">Technocritical Writers Room</t>
  </si>
  <si>
    <t xml:space="preserve">Amalia Mayorga</t>
  </si>
  <si>
    <t xml:space="preserve">7 of 9</t>
  </si>
  <si>
    <t xml:space="preserve">Undisclosed address — Upper West Side</t>
  </si>
  <si>
    <t xml:space="preserve">Upper West Side</t>
  </si>
  <si>
    <t xml:space="preserve">Letter Writing Circles (UWS)</t>
  </si>
  <si>
    <t xml:space="preserve">Colin Yaccarino</t>
  </si>
  <si>
    <t xml:space="preserve">4 of 4</t>
  </si>
  <si>
    <t xml:space="preserve">208 W 13th St. (ITAA meeting)</t>
  </si>
  <si>
    <t xml:space="preserve">West Village, Manhattan</t>
  </si>
  <si>
    <t xml:space="preserve">Internet &amp; Tech Addicts Anonymous (weekly)</t>
  </si>
  <si>
    <t xml:space="preserve">Internet &amp; Tech Addicts Anonymous</t>
  </si>
  <si>
    <t xml:space="preserve">7 of 7</t>
  </si>
  <si>
    <t xml:space="preserve">T.J. Byrnes</t>
  </si>
  <si>
    <t xml:space="preserve">Cafe / bar / restaurant</t>
  </si>
  <si>
    <t xml:space="preserve">77 Fulton St., FiDi, Manhattan</t>
  </si>
  <si>
    <t xml:space="preserve">An Evening of Music (Screen-Free)</t>
  </si>
  <si>
    <t xml:space="preserve">August Lamm &amp; Andy Henley</t>
  </si>
  <si>
    <t xml:space="preserve">5 of 7</t>
  </si>
  <si>
    <t xml:space="preserve">222 Bowery (Giorno Poetry Systems)</t>
  </si>
  <si>
    <t xml:space="preserve">Bowery, Manhattan</t>
  </si>
  <si>
    <t xml:space="preserve">Event Facilitator Workshop (weekly)</t>
  </si>
  <si>
    <t xml:space="preserve">NYC Off Tech organizers</t>
  </si>
  <si>
    <t xml:space="preserve">boshi's place</t>
  </si>
  <si>
    <t xml:space="preserve">East Williamsburg, Brooklyn</t>
  </si>
  <si>
    <t xml:space="preserve">"Can Games Change the World?" Showcase</t>
  </si>
  <si>
    <t xml:space="preserve">5 of 6</t>
  </si>
  <si>
    <t xml:space="preserve">Fort Tilden</t>
  </si>
  <si>
    <t xml:space="preserve">Rockaway, Queens</t>
  </si>
  <si>
    <t xml:space="preserve">Fort Tilden &amp; Breezy Point Beach Cleanup (weekly)</t>
  </si>
  <si>
    <t xml:space="preserve">— (no host named)</t>
  </si>
  <si>
    <t xml:space="preserve">0 of 0</t>
  </si>
  <si>
    <t xml:space="preserve">Lalin's</t>
  </si>
  <si>
    <t xml:space="preserve">Burner Phone Writing Group</t>
  </si>
  <si>
    <t xml:space="preserve">Burner Phone</t>
  </si>
  <si>
    <t xml:space="preserve">1 of 1</t>
  </si>
  <si>
    <t xml:space="preserve">The New School (incl. TNS Black Box Theatre)</t>
  </si>
  <si>
    <t xml:space="preserve">The Luddite Conference on Participatory Futures</t>
  </si>
  <si>
    <t xml:space="preserve">Tech Workers Coalition</t>
  </si>
  <si>
    <t xml:space="preserve">2 of 4</t>
  </si>
  <si>
    <t xml:space="preserve">Undisclosed address — East Village</t>
  </si>
  <si>
    <t xml:space="preserve">East Village</t>
  </si>
  <si>
    <t xml:space="preserve">Letter Writing Circles (East Village)</t>
  </si>
  <si>
    <t xml:space="preserve">Amelia Gorman</t>
  </si>
  <si>
    <t xml:space="preserve">Undisclosed address — Park Slope</t>
  </si>
  <si>
    <t xml:space="preserve">Park Slope</t>
  </si>
  <si>
    <t xml:space="preserve">Corn Moon (moved inside)</t>
  </si>
  <si>
    <t xml:space="preserve">3 of 3</t>
  </si>
  <si>
    <t xml:space="preserve">Wonderville</t>
  </si>
  <si>
    <t xml:space="preserve">Bushwick, Brooklyn</t>
  </si>
  <si>
    <t xml:space="preserve">Event Organizer Meetup</t>
  </si>
  <si>
    <t xml:space="preserve">NYC Event Organizers Meetup (tied, 2 hosts)</t>
  </si>
  <si>
    <t xml:space="preserve">2 of 6</t>
  </si>
  <si>
    <t xml:space="preserve">Crystal Lake</t>
  </si>
  <si>
    <t xml:space="preserve">Williamsburg, Brooklyn</t>
  </si>
  <si>
    <t xml:space="preserve">News &amp; Brews #2: Prediction Markets</t>
  </si>
  <si>
    <t xml:space="preserve">News and Brews</t>
  </si>
  <si>
    <t xml:space="preserve">La Plaza Cultural</t>
  </si>
  <si>
    <t xml:space="preserve">The Card Catalog of Potential</t>
  </si>
  <si>
    <t xml:space="preserve">Summer of Ludd (tied, 2 hosts)</t>
  </si>
  <si>
    <t xml:space="preserve">National Academy of Design (NoAD)</t>
  </si>
  <si>
    <t xml:space="preserve">Gallery / museum</t>
  </si>
  <si>
    <t xml:space="preserve">Manhattan</t>
  </si>
  <si>
    <t xml:space="preserve">Handmade Datasets</t>
  </si>
  <si>
    <t xml:space="preserve">3 of 5</t>
  </si>
  <si>
    <t xml:space="preserve">Pete's Candy Store</t>
  </si>
  <si>
    <t xml:space="preserve">"BRIGHT FIVE" Presentation Party</t>
  </si>
  <si>
    <t xml:space="preserve">2 of 2</t>
  </si>
  <si>
    <t xml:space="preserve">53 Bridge St. (NYC Mesh)</t>
  </si>
  <si>
    <t xml:space="preserve">DUMBO, Brooklyn</t>
  </si>
  <si>
    <t xml:space="preserve">NYC Mesh Open Mesh Night (weekly)</t>
  </si>
  <si>
    <t xml:space="preserve">NYC Mesh</t>
  </si>
  <si>
    <t xml:space="preserve">Apple Store Fifth Avenue ('the Cube')</t>
  </si>
  <si>
    <t xml:space="preserve">Retail (protest site)</t>
  </si>
  <si>
    <t xml:space="preserve">Fifth Ave &amp; Central Park S, Manhattan</t>
  </si>
  <si>
    <t xml:space="preserve">S.H.I.T.P.H.O.N.E. III</t>
  </si>
  <si>
    <t xml:space="preserve">Brooklyn Bridge Park</t>
  </si>
  <si>
    <t xml:space="preserve">Jungle Games</t>
  </si>
  <si>
    <t xml:space="preserve">Samvit Sengupta</t>
  </si>
  <si>
    <t xml:space="preserve">Hudson Highlands State Park</t>
  </si>
  <si>
    <t xml:space="preserve">Cold Spring, NY</t>
  </si>
  <si>
    <t xml:space="preserve">Autumn Hike (Bull Hill Short Loop)</t>
  </si>
  <si>
    <t xml:space="preserve">NY-NJ Trail Conference (Hudson Valley Trail Stewards)</t>
  </si>
  <si>
    <t xml:space="preserve">Producers Club</t>
  </si>
  <si>
    <t xml:space="preserve">Event venue / club</t>
  </si>
  <si>
    <t xml:space="preserve">Singles Dating Matching Using Palantir Data</t>
  </si>
  <si>
    <t xml:space="preserve">The Sultan Room (incl. Rooftop)</t>
  </si>
  <si>
    <t xml:space="preserve">Burner Phone MISS WORLD Launch Party</t>
  </si>
  <si>
    <t xml:space="preserve">Burner Phone (tied, 2 hosts)</t>
  </si>
  <si>
    <t xml:space="preserve">Underland Gallery</t>
  </si>
  <si>
    <t xml:space="preserve">Bay Ridge, Brooklyn</t>
  </si>
  <si>
    <t xml:space="preserve">Bay Ridge Figure Drawing</t>
  </si>
  <si>
    <t xml:space="preserve">Amanda Hanna-McLeer</t>
  </si>
  <si>
    <t xml:space="preserve">Undisclosed address — Williamsburg</t>
  </si>
  <si>
    <t xml:space="preserve">Williamsburg</t>
  </si>
  <si>
    <t xml:space="preserve">Letter Writing Circles (Williamsburg)</t>
  </si>
  <si>
    <t xml:space="preserve">96 St. Q Station (Quiet Q Train)</t>
  </si>
  <si>
    <t xml:space="preserve">Transit</t>
  </si>
  <si>
    <t xml:space="preserve">Upper East Side, Manhattan</t>
  </si>
  <si>
    <t xml:space="preserve">Turn the Q Train Quiet</t>
  </si>
  <si>
    <t xml:space="preserve">Nicole Kelner &amp; Rizzoli New York</t>
  </si>
  <si>
    <t xml:space="preserve">BRIC</t>
  </si>
  <si>
    <t xml:space="preserve">'Your Attention Please' NYC Premiere</t>
  </si>
  <si>
    <t xml:space="preserve">Church of the Village (CDNY dances)</t>
  </si>
  <si>
    <t xml:space="preserve">CDNY English Country Dance &amp; Contra (twice weekly)</t>
  </si>
  <si>
    <t xml:space="preserve">CDNY</t>
  </si>
  <si>
    <t xml:space="preserve">Denizen Theatre</t>
  </si>
  <si>
    <t xml:space="preserve">New Paltz, NY</t>
  </si>
  <si>
    <t xml:space="preserve">Anna by the Window Screenings (Sundays)</t>
  </si>
  <si>
    <t xml:space="preserve">BAGGYSUIT</t>
  </si>
  <si>
    <t xml:space="preserve">Index Chinatown</t>
  </si>
  <si>
    <t xml:space="preserve">Chinatown, Manhattan</t>
  </si>
  <si>
    <t xml:space="preserve">Does Expertise Matter?</t>
  </si>
  <si>
    <t xml:space="preserve">Interference Archive</t>
  </si>
  <si>
    <t xml:space="preserve">Gowanus, Brooklyn</t>
  </si>
  <si>
    <t xml:space="preserve">Intro to Linux Workshop</t>
  </si>
  <si>
    <t xml:space="preserve">IWW NYC</t>
  </si>
  <si>
    <t xml:space="preserve">JADE</t>
  </si>
  <si>
    <t xml:space="preserve">Break Up with Spotify Again</t>
  </si>
  <si>
    <t xml:space="preserve">Madison Square Park</t>
  </si>
  <si>
    <t xml:space="preserve">Flatiron, Manhattan</t>
  </si>
  <si>
    <t xml:space="preserve">Sidewalk Study "Ensouled Beauty"</t>
  </si>
  <si>
    <t xml:space="preserve">SoRA Study Corps</t>
  </si>
  <si>
    <t xml:space="preserve">McGolrick Park</t>
  </si>
  <si>
    <t xml:space="preserve">Greenpoint, Brooklyn</t>
  </si>
  <si>
    <t xml:space="preserve">McGolrick Park Bird Club</t>
  </si>
  <si>
    <t xml:space="preserve">MetroRock Bushwick</t>
  </si>
  <si>
    <t xml:space="preserve">Skin in the Game</t>
  </si>
  <si>
    <t xml:space="preserve">How Do We Play</t>
  </si>
  <si>
    <t xml:space="preserve">Museum of the Moving Image</t>
  </si>
  <si>
    <t xml:space="preserve">Astoria, Queens</t>
  </si>
  <si>
    <t xml:space="preserve">Phone Free Fridays (weekly)</t>
  </si>
  <si>
    <t xml:space="preserve">MoMI, Light Phone &amp; Dan Fox (tied, 3 hosts)</t>
  </si>
  <si>
    <t xml:space="preserve">1 of 3</t>
  </si>
  <si>
    <t xml:space="preserve">NYU School of Law – Vanderbilt Hall (incl. Greenberg Lounge)</t>
  </si>
  <si>
    <t xml:space="preserve">The Trial of Jeff Bezos</t>
  </si>
  <si>
    <t xml:space="preserve">Authors of Against Tech Oligarchy</t>
  </si>
  <si>
    <t xml:space="preserve">Nightclub 101</t>
  </si>
  <si>
    <t xml:space="preserve">Moving offline in an online age</t>
  </si>
  <si>
    <t xml:space="preserve">August Lamm (tied, 3 hosts)</t>
  </si>
  <si>
    <t xml:space="preserve">Peace Cafe</t>
  </si>
  <si>
    <t xml:space="preserve">Digital Security</t>
  </si>
  <si>
    <t xml:space="preserve">Secret Riso Club</t>
  </si>
  <si>
    <t xml:space="preserve">GUNK's Third Birthday Party</t>
  </si>
  <si>
    <t xml:space="preserve">GUNK</t>
  </si>
  <si>
    <t xml:space="preserve">The Bench</t>
  </si>
  <si>
    <t xml:space="preserve">Airplane Mode Vol. 6</t>
  </si>
  <si>
    <t xml:space="preserve">The Look Up</t>
  </si>
  <si>
    <t xml:space="preserve">dumb.co Launch Party</t>
  </si>
  <si>
    <t xml:space="preserve">dumb.co</t>
  </si>
  <si>
    <t xml:space="preserve">The Players Club</t>
  </si>
  <si>
    <t xml:space="preserve">16 Gramercy Park S., Manhattan</t>
  </si>
  <si>
    <t xml:space="preserve">Bateson Double Book Launch and Signing</t>
  </si>
  <si>
    <t xml:space="preserve">NY Society for General Semantics</t>
  </si>
  <si>
    <t xml:space="preserve">Undisclosed address — Bed-Stuy</t>
  </si>
  <si>
    <t xml:space="preserve">Bed-Stuy</t>
  </si>
  <si>
    <t xml:space="preserve">soup sets (rooftop)</t>
  </si>
  <si>
    <t xml:space="preserve">Let's Get Off Together DJs (tied, 2 hosts)</t>
  </si>
  <si>
    <t xml:space="preserve">1 of 2</t>
  </si>
  <si>
    <t xml:space="preserve">Undisclosed address — Chinatown</t>
  </si>
  <si>
    <t xml:space="preserve">Chinatown</t>
  </si>
  <si>
    <t xml:space="preserve">We Are Already Gathered</t>
  </si>
  <si>
    <t xml:space="preserve">Undisclosed address — Midtown</t>
  </si>
  <si>
    <t xml:space="preserve">Midtown</t>
  </si>
  <si>
    <t xml:space="preserve">CHAOS &amp; ORDER!</t>
  </si>
  <si>
    <t xml:space="preserve">Katie Nguyen (SoRA) (tied, 2 hosts)</t>
  </si>
  <si>
    <t xml:space="preserve">Brooklyn Brewery</t>
  </si>
  <si>
    <t xml:space="preserve">Global Endurance Collective Launch</t>
  </si>
  <si>
    <t xml:space="preserve">Global Endurance Collective (tied, 2 hosts)</t>
  </si>
  <si>
    <t xml:space="preserve">Caveat</t>
  </si>
  <si>
    <t xml:space="preserve">Lower East Side, Manhattan</t>
  </si>
  <si>
    <t xml:space="preserve">REAL LIFE TONIGHT</t>
  </si>
  <si>
    <t xml:space="preserve">Ian &amp; Amelia</t>
  </si>
  <si>
    <t xml:space="preserve">Undisclosed address — Undisclosed</t>
  </si>
  <si>
    <t xml:space="preserve">Undisclosed</t>
  </si>
  <si>
    <t xml:space="preserve">How to Start a Letter-Writing Circle</t>
  </si>
  <si>
    <t xml:space="preserve">100 Sutton St.</t>
  </si>
  <si>
    <t xml:space="preserve">Midterm Mania</t>
  </si>
  <si>
    <t xml:space="preserve">Newsreel</t>
  </si>
  <si>
    <t xml:space="preserve">215th St. Stairs</t>
  </si>
  <si>
    <t xml:space="preserve">Inwood, Manhattan</t>
  </si>
  <si>
    <t xml:space="preserve">ManhattanHike</t>
  </si>
  <si>
    <t xml:space="preserve">Koll</t>
  </si>
  <si>
    <t xml:space="preserve">520 8th Ave., 3rd Fl. (CDNY)</t>
  </si>
  <si>
    <t xml:space="preserve">CDNY Dance Lab</t>
  </si>
  <si>
    <t xml:space="preserve">Amelia's</t>
  </si>
  <si>
    <t xml:space="preserve">Proteus Club Launch</t>
  </si>
  <si>
    <t xml:space="preserve">The Proteus Club</t>
  </si>
  <si>
    <t xml:space="preserve">Book Club Bar</t>
  </si>
  <si>
    <t xml:space="preserve">Bookstore</t>
  </si>
  <si>
    <t xml:space="preserve">Poetry Today Reading</t>
  </si>
  <si>
    <t xml:space="preserve">Daniel</t>
  </si>
  <si>
    <t xml:space="preserve">Dorrian's Red Hand</t>
  </si>
  <si>
    <t xml:space="preserve">2nd Ave &amp; 84th St., Manhattan</t>
  </si>
  <si>
    <t xml:space="preserve">TEDxCarnegieHill</t>
  </si>
  <si>
    <t xml:space="preserve">Erie Basin Park</t>
  </si>
  <si>
    <t xml:space="preserve">Red Hook, Brooklyn</t>
  </si>
  <si>
    <t xml:space="preserve">Kings&amp;QueensHike</t>
  </si>
  <si>
    <t xml:space="preserve">Father Demo Square</t>
  </si>
  <si>
    <t xml:space="preserve">6th Ave &amp; Bleecker, Manhattan</t>
  </si>
  <si>
    <t xml:space="preserve">Come Say Hi to Friend AI</t>
  </si>
  <si>
    <t xml:space="preserve">Future Space Studios</t>
  </si>
  <si>
    <t xml:space="preserve">Ridgewood, Queens</t>
  </si>
  <si>
    <t xml:space="preserve">Burner Phone Zine Launch</t>
  </si>
  <si>
    <t xml:space="preserve">Gel Conference venue</t>
  </si>
  <si>
    <t xml:space="preserve">Accord, NY</t>
  </si>
  <si>
    <t xml:space="preserve">Gel Conference</t>
  </si>
  <si>
    <t xml:space="preserve">Mark Hurst (Techtonic)</t>
  </si>
  <si>
    <t xml:space="preserve">Green-Wood Cemetery</t>
  </si>
  <si>
    <t xml:space="preserve">CORVID CAPER</t>
  </si>
  <si>
    <t xml:space="preserve">Herbert Von King Park</t>
  </si>
  <si>
    <t xml:space="preserve">Bed-Stuy, Brooklyn</t>
  </si>
  <si>
    <t xml:space="preserve">Public Service</t>
  </si>
  <si>
    <t xml:space="preserve">Jalopy Theatre</t>
  </si>
  <si>
    <t xml:space="preserve">Anna by the Window Screening</t>
  </si>
  <si>
    <t xml:space="preserve">Judson Memorial Church</t>
  </si>
  <si>
    <t xml:space="preserve">ATTENSITY! Launch Party</t>
  </si>
  <si>
    <t xml:space="preserve">Friends of Attention</t>
  </si>
  <si>
    <t xml:space="preserve">Manhattan Bridge (Manhattan side)</t>
  </si>
  <si>
    <t xml:space="preserve">BrooklynHike II</t>
  </si>
  <si>
    <t xml:space="preserve">Maria Hernandez Park</t>
  </si>
  <si>
    <t xml:space="preserve">Public Service (tied, 2 hosts)</t>
  </si>
  <si>
    <t xml:space="preserve">Mil Mundos Books</t>
  </si>
  <si>
    <t xml:space="preserve">Out Loud Reading Series: El Gallo de Oro</t>
  </si>
  <si>
    <t xml:space="preserve">Out Loud Reading Series</t>
  </si>
  <si>
    <t xml:space="preserve">Newtown Radio</t>
  </si>
  <si>
    <t xml:space="preserve">262 Meserole St., East Williamsburg</t>
  </si>
  <si>
    <t xml:space="preserve">DISORIENTATION</t>
  </si>
  <si>
    <t xml:space="preserve">Friendly Stranger Studios &amp; Quazar (tied, 2 hosts)</t>
  </si>
  <si>
    <t xml:space="preserve">Pioneer Works</t>
  </si>
  <si>
    <t xml:space="preserve">Press Play</t>
  </si>
  <si>
    <t xml:space="preserve">Micaela Durand</t>
  </si>
  <si>
    <t xml:space="preserve">Prime Produce</t>
  </si>
  <si>
    <t xml:space="preserve">Hell's Kitchen, Manhattan</t>
  </si>
  <si>
    <t xml:space="preserve">No Lights, No Lycra</t>
  </si>
  <si>
    <t xml:space="preserve">Sara D. Roosevelt Park</t>
  </si>
  <si>
    <t xml:space="preserve">CLOSED AI</t>
  </si>
  <si>
    <t xml:space="preserve">NYC Luddites, QuitGPT &amp; coalition</t>
  </si>
  <si>
    <t xml:space="preserve">Studio Dem</t>
  </si>
  <si>
    <t xml:space="preserve">Fractal Convalescence Gallery</t>
  </si>
  <si>
    <t xml:space="preserve">Tane Poetry Library (Walt Whitman Initiative)</t>
  </si>
  <si>
    <t xml:space="preserve">91 South St., Manhattan</t>
  </si>
  <si>
    <t xml:space="preserve">Dear Dear: An Afternoon with Reuben Gelley Newman</t>
  </si>
  <si>
    <t xml:space="preserve">Walt Whitman Initiative</t>
  </si>
  <si>
    <t xml:space="preserve">The Beacon</t>
  </si>
  <si>
    <t xml:space="preserve">Beacon, NY</t>
  </si>
  <si>
    <t xml:space="preserve">TransPecos</t>
  </si>
  <si>
    <t xml:space="preserve">Zines for Cybersecurity</t>
  </si>
  <si>
    <t xml:space="preserve">CyPurr Collective</t>
  </si>
  <si>
    <t xml:space="preserve">TØRST Greenpoint</t>
  </si>
  <si>
    <t xml:space="preserve">Cybernetic Salon: Re-Feel Your Emotions</t>
  </si>
  <si>
    <t xml:space="preserve">Undisclosed address — Astoria</t>
  </si>
  <si>
    <t xml:space="preserve">Astoria</t>
  </si>
  <si>
    <t xml:space="preserve">LETTER WRITING CIRCLE (Astoria)</t>
  </si>
  <si>
    <t xml:space="preserve">Undisclosed address — Gowanus</t>
  </si>
  <si>
    <t xml:space="preserve">Gowanus</t>
  </si>
  <si>
    <t xml:space="preserve">Luddite Club Documentary OPEN STUDIOS</t>
  </si>
  <si>
    <t xml:space="preserve">Kyle Barnes &amp; Samvit Sengupta</t>
  </si>
  <si>
    <t xml:space="preserve">Undisclosed address — Greenpoint</t>
  </si>
  <si>
    <t xml:space="preserve">Greenpoint</t>
  </si>
  <si>
    <t xml:space="preserve">Awareness-Building Meditation</t>
  </si>
  <si>
    <t xml:space="preserve">Phil Nguyen</t>
  </si>
  <si>
    <t xml:space="preserve">Verci Flatiron</t>
  </si>
  <si>
    <t xml:space="preserve">Zing x Verci Phone-Free Cafe Night</t>
  </si>
  <si>
    <t xml:space="preserve">Zing</t>
  </si>
  <si>
    <t xml:space="preserve">Webster Hall</t>
  </si>
  <si>
    <t xml:space="preserve">The People's AI Assembly</t>
  </si>
  <si>
    <t xml:space="preserve">AI Now Institute &amp; More Perfect Union</t>
  </si>
  <si>
    <t xml:space="preserve">177 Prince St. (Museum of Interesting Things)</t>
  </si>
  <si>
    <t xml:space="preserve">SoHo, Manhattan</t>
  </si>
  <si>
    <t xml:space="preserve">Secret Film Speakeasy</t>
  </si>
  <si>
    <t xml:space="preserve">Museum of Interesting Things</t>
  </si>
  <si>
    <t xml:space="preserve">McCarren Park</t>
  </si>
  <si>
    <t xml:space="preserve">Williamsburg/Greenpoint, Brooklyn</t>
  </si>
  <si>
    <t xml:space="preserve">WEAVE NYC [postponed]</t>
  </si>
  <si>
    <t xml:space="preserve">Jasmine Zimmerman (tied, 2 hosts)</t>
  </si>
  <si>
    <t xml:space="preserve">Stuyvesant Park</t>
  </si>
  <si>
    <t xml:space="preserve">Ecosocialism: Coming to a Horizon Near You</t>
  </si>
  <si>
    <t xml:space="preserve">136 Milton St.</t>
  </si>
  <si>
    <t xml:space="preserve">Science Fair (Open House)</t>
  </si>
  <si>
    <t xml:space="preserve">157 E 37th St. (POPS)</t>
  </si>
  <si>
    <t xml:space="preserve">Murray Hill, Manhattan</t>
  </si>
  <si>
    <t xml:space="preserve">45th Annual Rope Climb</t>
  </si>
  <si>
    <t xml:space="preserve">180 Maiden Lane (POPS)</t>
  </si>
  <si>
    <t xml:space="preserve">FiDi, Manhattan</t>
  </si>
  <si>
    <t xml:space="preserve">POPS: History &amp; Practice</t>
  </si>
  <si>
    <t xml:space="preserve">197 E Broadway, 6th Fl.</t>
  </si>
  <si>
    <t xml:space="preserve">PLAY-IN!</t>
  </si>
  <si>
    <t xml:space="preserve">63 5th Ave. (Palantir action)</t>
  </si>
  <si>
    <t xml:space="preserve">Post-Conference Action (Palantir)</t>
  </si>
  <si>
    <t xml:space="preserve">9 Bond St., 4th Fl. (Alex House Project)</t>
  </si>
  <si>
    <t xml:space="preserve">Downtown Brooklyn</t>
  </si>
  <si>
    <t xml:space="preserve">Free Laptop Giveaway</t>
  </si>
  <si>
    <t xml:space="preserve">Alex House Project</t>
  </si>
  <si>
    <t xml:space="preserve">All Souls Unitarian Church</t>
  </si>
  <si>
    <t xml:space="preserve">1157 Lexington Ave., Manhattan</t>
  </si>
  <si>
    <t xml:space="preserve">ARTIFICIAL INTIMACY with Sherry Turkle</t>
  </si>
  <si>
    <t xml:space="preserve">New Center for Holistic Learning &amp; Wisdomfeed</t>
  </si>
  <si>
    <t xml:space="preserve">Amant</t>
  </si>
  <si>
    <t xml:space="preserve">Small Press Flea</t>
  </si>
  <si>
    <t xml:space="preserve">Apple Stores (various)</t>
  </si>
  <si>
    <t xml:space="preserve">Citywide</t>
  </si>
  <si>
    <t xml:space="preserve">Heat Initiative Day of Action</t>
  </si>
  <si>
    <t xml:space="preserve">Heat Initiative</t>
  </si>
  <si>
    <t xml:space="preserve">BAM Rose Cinemas</t>
  </si>
  <si>
    <t xml:space="preserve">Ghost in the Machine Screening</t>
  </si>
  <si>
    <t xml:space="preserve">Baby's All Right</t>
  </si>
  <si>
    <t xml:space="preserve">Month Offline Begins!</t>
  </si>
  <si>
    <t xml:space="preserve">Month Offline</t>
  </si>
  <si>
    <t xml:space="preserve">Beach 90th St., Rockaway</t>
  </si>
  <si>
    <t xml:space="preserve">Beach Kookout for a New America</t>
  </si>
  <si>
    <t xml:space="preserve">Bearded Lady</t>
  </si>
  <si>
    <t xml:space="preserve">Prospect Heights, Brooklyn</t>
  </si>
  <si>
    <t xml:space="preserve">Hang Out Like It's 1996</t>
  </si>
  <si>
    <t xml:space="preserve">Brooklyn Botanic Garden</t>
  </si>
  <si>
    <t xml:space="preserve">Odes in a Secret Amphitheater</t>
  </si>
  <si>
    <t xml:space="preserve">Brooklyn Heights Library (BPL)</t>
  </si>
  <si>
    <t xml:space="preserve">Brooklyn Heights</t>
  </si>
  <si>
    <t xml:space="preserve">AI Chatbot PUBLIC CONVERSATION</t>
  </si>
  <si>
    <t xml:space="preserve">Bryant Park</t>
  </si>
  <si>
    <t xml:space="preserve">Study Corps: Poetry Intervention</t>
  </si>
  <si>
    <t xml:space="preserve">Camp Friendship</t>
  </si>
  <si>
    <t xml:space="preserve">Park Slope, Brooklyn</t>
  </si>
  <si>
    <t xml:space="preserve">Brooklyn Contra Dancing LUDDITE NIGHT</t>
  </si>
  <si>
    <t xml:space="preserve">Brooklyn Contra</t>
  </si>
  <si>
    <t xml:space="preserve">Cassette</t>
  </si>
  <si>
    <t xml:space="preserve">Junction</t>
  </si>
  <si>
    <t xml:space="preserve">Anagouti &amp; jsn</t>
  </si>
  <si>
    <t xml:space="preserve">Central Park (106th St &amp; CPW)</t>
  </si>
  <si>
    <t xml:space="preserve">Morning Hike</t>
  </si>
  <si>
    <t xml:space="preserve">Classon Playground</t>
  </si>
  <si>
    <t xml:space="preserve">Collider NYC</t>
  </si>
  <si>
    <t xml:space="preserve">THE EMPIRE STATE STRIKES BACK</t>
  </si>
  <si>
    <t xml:space="preserve">NY Tech Accountability Project (NYTAP)</t>
  </si>
  <si>
    <t xml:space="preserve">Edge Studio</t>
  </si>
  <si>
    <t xml:space="preserve">Proteus: Phone-Free Creative Workshop</t>
  </si>
  <si>
    <t xml:space="preserve">El Jardín (710 E. 5th St.)</t>
  </si>
  <si>
    <t xml:space="preserve">Third World Newsreels: The Business of America</t>
  </si>
  <si>
    <t xml:space="preserve">Fulton Hall</t>
  </si>
  <si>
    <t xml:space="preserve">dumb.co Phone-Free Afterparty</t>
  </si>
  <si>
    <t xml:space="preserve">Garnet</t>
  </si>
  <si>
    <t xml:space="preserve">The Examined Review Vol. 2 Launch Party</t>
  </si>
  <si>
    <t xml:space="preserve">The Examined Review</t>
  </si>
  <si>
    <t xml:space="preserve">Governors Island</t>
  </si>
  <si>
    <t xml:space="preserve">Reconnect Phone-Free Field Trip</t>
  </si>
  <si>
    <t xml:space="preserve">Reconnect</t>
  </si>
  <si>
    <t xml:space="preserve">Grand Central Terminal</t>
  </si>
  <si>
    <t xml:space="preserve">The Odyssey Nonstop</t>
  </si>
  <si>
    <t xml:space="preserve">Phil, Nick &amp; pals</t>
  </si>
  <si>
    <t xml:space="preserve">Green Oasis Community Garden</t>
  </si>
  <si>
    <t xml:space="preserve">The Real Ned Ludd Lecture</t>
  </si>
  <si>
    <t xml:space="preserve">Greenlight Bookstore</t>
  </si>
  <si>
    <t xml:space="preserve">You Don't Need a Smartphone Book Launch</t>
  </si>
  <si>
    <t xml:space="preserve">August Lamm</t>
  </si>
  <si>
    <t xml:space="preserve">Hungry Llama</t>
  </si>
  <si>
    <t xml:space="preserve">REALITY CHECK: Creating a New Normal</t>
  </si>
  <si>
    <t xml:space="preserve">Appstinence</t>
  </si>
  <si>
    <t xml:space="preserve">Hunter College</t>
  </si>
  <si>
    <t xml:space="preserve">Ghost in the Machine Free Screening</t>
  </si>
  <si>
    <t xml:space="preserve">Hunters Point South Park</t>
  </si>
  <si>
    <t xml:space="preserve">Long Island City, Queens</t>
  </si>
  <si>
    <t xml:space="preserve">Creature Emergence</t>
  </si>
  <si>
    <t xml:space="preserve">Index Greenpoint</t>
  </si>
  <si>
    <t xml:space="preserve">Civic Tech Open Assembly</t>
  </si>
  <si>
    <t xml:space="preserve">Kingston Hall</t>
  </si>
  <si>
    <t xml:space="preserve">All Tech Is Human Responsible Tech Mixer</t>
  </si>
  <si>
    <t xml:space="preserve">All Tech Is Human</t>
  </si>
  <si>
    <t xml:space="preserve">LIFEWORLD</t>
  </si>
  <si>
    <t xml:space="preserve">Kill the Internet IRL</t>
  </si>
  <si>
    <t xml:space="preserve">Kill the Internet coalition</t>
  </si>
  <si>
    <t xml:space="preserve">Lightning Society Lofts</t>
  </si>
  <si>
    <t xml:space="preserve">Action Theater Pop-Up Class</t>
  </si>
  <si>
    <t xml:space="preserve">Little Island</t>
  </si>
  <si>
    <t xml:space="preserve">Hudson River Park, Manhattan</t>
  </si>
  <si>
    <t xml:space="preserve">Flirtation Rehabilitation</t>
  </si>
  <si>
    <t xml:space="preserve">Magenta Plains</t>
  </si>
  <si>
    <t xml:space="preserve">SPINSTER: Art-Curious Club</t>
  </si>
  <si>
    <t xml:space="preserve">SPINSTER</t>
  </si>
  <si>
    <t xml:space="preserve">Marylou</t>
  </si>
  <si>
    <t xml:space="preserve">HARD RESET Comedy Night</t>
  </si>
  <si>
    <t xml:space="preserve">Hard Reset</t>
  </si>
  <si>
    <t xml:space="preserve">Mayday Space</t>
  </si>
  <si>
    <t xml:space="preserve">Divorcing Google Screening &amp; Teach-In</t>
  </si>
  <si>
    <t xml:space="preserve">Mount Prospect Park</t>
  </si>
  <si>
    <t xml:space="preserve">Spring Equinox</t>
  </si>
  <si>
    <t xml:space="preserve">Movement Lab at Barnard</t>
  </si>
  <si>
    <t xml:space="preserve">Sacred Sites Art Gallery</t>
  </si>
  <si>
    <t xml:space="preserve">Teresa Lawlor &amp; Cam My Nguyen</t>
  </si>
  <si>
    <t xml:space="preserve">Museum of Reclaimed Urban Space (MoRUS)</t>
  </si>
  <si>
    <t xml:space="preserve">Piracy 101</t>
  </si>
  <si>
    <t xml:space="preserve">Nublu</t>
  </si>
  <si>
    <t xml:space="preserve">Soft &amp; Lovely Dance Party</t>
  </si>
  <si>
    <t xml:space="preserve">Open Source Gallery</t>
  </si>
  <si>
    <t xml:space="preserve">Community Craft Workshop</t>
  </si>
  <si>
    <t xml:space="preserve">Mary Pat Klein</t>
  </si>
  <si>
    <t xml:space="preserve">P&amp;T Knitwear</t>
  </si>
  <si>
    <t xml:space="preserve">ATIH Responsible Tech Mixer</t>
  </si>
  <si>
    <t xml:space="preserve">Ridgewood Library (QPL)</t>
  </si>
  <si>
    <t xml:space="preserve">L-Train Literary Club</t>
  </si>
  <si>
    <t xml:space="preserve">Rizzoli Bookstore</t>
  </si>
  <si>
    <t xml:space="preserve">NoMad, Manhattan</t>
  </si>
  <si>
    <t xml:space="preserve">Quietest Places Book Launch</t>
  </si>
  <si>
    <t xml:space="preserve">Nicole Kelner</t>
  </si>
  <si>
    <t xml:space="preserve">Rockefeller Center</t>
  </si>
  <si>
    <t xml:space="preserve">Rodeo (1134 President St.)</t>
  </si>
  <si>
    <t xml:space="preserve">Crown Heights, Brooklyn</t>
  </si>
  <si>
    <t xml:space="preserve">EMPTY SET Issue 2 Launch Party</t>
  </si>
  <si>
    <t xml:space="preserve">Empty Set</t>
  </si>
  <si>
    <t xml:space="preserve">Roosevelt Island</t>
  </si>
  <si>
    <t xml:space="preserve">"Exits" Teach-In</t>
  </si>
  <si>
    <t xml:space="preserve">SJNY</t>
  </si>
  <si>
    <t xml:space="preserve">The Friends of Attention at SJNY</t>
  </si>
  <si>
    <t xml:space="preserve">South Oxford Space</t>
  </si>
  <si>
    <t xml:space="preserve">Circlesing</t>
  </si>
  <si>
    <t xml:space="preserve">St. Mark's Church in-the-Bowery</t>
  </si>
  <si>
    <t xml:space="preserve">Poetry Project New Year's Day Marathon</t>
  </si>
  <si>
    <t xml:space="preserve">The Poetry Project</t>
  </si>
  <si>
    <t xml:space="preserve">The Clemente</t>
  </si>
  <si>
    <t xml:space="preserve">107 Suffolk St., Lower East Side</t>
  </si>
  <si>
    <t xml:space="preserve">Info Security + Zine Making Workshop</t>
  </si>
  <si>
    <t xml:space="preserve">The Crown Inn</t>
  </si>
  <si>
    <t xml:space="preserve">(Off) Tech Support</t>
  </si>
  <si>
    <t xml:space="preserve">The Strand (Rare Book Room)</t>
  </si>
  <si>
    <t xml:space="preserve">828 Broadway, Manhattan</t>
  </si>
  <si>
    <t xml:space="preserve">U.S. Capitol</t>
  </si>
  <si>
    <t xml:space="preserve">Washington, D.C.</t>
  </si>
  <si>
    <t xml:space="preserve">Ludds in D.C.</t>
  </si>
  <si>
    <t xml:space="preserve">Luddite Club (The Ludds)</t>
  </si>
  <si>
    <t xml:space="preserve">Under St. Marks</t>
  </si>
  <si>
    <t xml:space="preserve">The Spectacular Vermin Sisters</t>
  </si>
  <si>
    <t xml:space="preserve">Amelia &amp; Avi Gorman</t>
  </si>
  <si>
    <t xml:space="preserve">Undisclosed address — FiDi</t>
  </si>
  <si>
    <t xml:space="preserve">FiDi</t>
  </si>
  <si>
    <t xml:space="preserve">Sidewalk Study "PLAYING the POLITICAL"</t>
  </si>
  <si>
    <t xml:space="preserve">Undisclosed address — Flatbush</t>
  </si>
  <si>
    <t xml:space="preserve">Flatbush</t>
  </si>
  <si>
    <t xml:space="preserve">inner child potluck</t>
  </si>
  <si>
    <t xml:space="preserve">Undisclosed address — Lower Manhattan</t>
  </si>
  <si>
    <t xml:space="preserve">Lower Manhattan</t>
  </si>
  <si>
    <t xml:space="preserve">Social Infrastructure Building</t>
  </si>
  <si>
    <t xml:space="preserve">Undisclosed address — Prospect Heights</t>
  </si>
  <si>
    <t xml:space="preserve">Prospect Heights</t>
  </si>
  <si>
    <t xml:space="preserve">BETTER MAN (M.A.G.L.A.R.&amp;O!)</t>
  </si>
  <si>
    <t xml:space="preserve">M.A.G.L.A.R.O!</t>
  </si>
  <si>
    <t xml:space="preserve">Undisclosed address — Rotating neighborhoods</t>
  </si>
  <si>
    <t xml:space="preserve">Rotating neighborhoods</t>
  </si>
  <si>
    <t xml:space="preserve">Pick Up Pigeons Trash Clean Up (weekly)</t>
  </si>
  <si>
    <t xml:space="preserve">Pick Up Pigeons</t>
  </si>
  <si>
    <t xml:space="preserve">Undisclosed address — West Village</t>
  </si>
  <si>
    <t xml:space="preserve">West Village</t>
  </si>
  <si>
    <t xml:space="preserve">Katie Nguyen (SoRA)</t>
  </si>
  <si>
    <t xml:space="preserve">Verso Books</t>
  </si>
  <si>
    <t xml:space="preserve">207 32nd St., Brooklyn</t>
  </si>
  <si>
    <t xml:space="preserve">Against Tech Oligarchy Book Launch</t>
  </si>
  <si>
    <t xml:space="preserve">DSA Tech Action &amp; Verso Books</t>
  </si>
  <si>
    <t xml:space="preserve">Whitney Museum (Biennial)</t>
  </si>
  <si>
    <t xml:space="preserve">Meatpacking, Manhattan</t>
  </si>
  <si>
    <t xml:space="preserve">Sidewalk Study: Rick Rubin on Art</t>
  </si>
  <si>
    <t xml:space="preserve">Williamsburgh Library (BPL)</t>
  </si>
  <si>
    <t xml:space="preserve">240 Division Ave, Williamsburg</t>
  </si>
  <si>
    <t xml:space="preserve">Internet of Shit Teach-In</t>
  </si>
  <si>
    <t xml:space="preserve">Woodbine (414 Broadway, 3rd Fl.)</t>
  </si>
  <si>
    <t xml:space="preserve">Chinatown/SoHo, Manhattan</t>
  </si>
  <si>
    <t xml:space="preserve">Paul Chan on "Content"</t>
  </si>
  <si>
    <t xml:space="preserve">XRoads Cafe Bushwick</t>
  </si>
  <si>
    <t xml:space="preserve">Intentional Tech Use: Community Discussion</t>
  </si>
  <si>
    <t xml:space="preserve">Logina Mostafa &amp; Connor Griffin</t>
  </si>
  <si>
    <t xml:space="preserve">Zuccotti Park</t>
  </si>
  <si>
    <t xml:space="preserve">St. Stupid's Day Parade</t>
  </si>
  <si>
    <t xml:space="preserve">Rude Mechanical Orchestra</t>
  </si>
  <si>
    <t xml:space="preserve">Note: 'Most common host' and 'Most recent event listed' are computed from the Reference Log at build time (not live formulas). Grey rows = organizer withheld the address and gave only a neighborhood.</t>
  </si>
  <si>
    <t xml:space="preserve">Issue date</t>
  </si>
  <si>
    <t xml:space="preserve">Issue</t>
  </si>
  <si>
    <t xml:space="preserve">Event</t>
  </si>
  <si>
    <t xml:space="preserve">Event date</t>
  </si>
  <si>
    <t xml:space="preserve">Venue</t>
  </si>
  <si>
    <t xml:space="preserve">Venue type</t>
  </si>
  <si>
    <t xml:space="preserve">Host (as listed)</t>
  </si>
  <si>
    <t xml:space="preserve">Issue link</t>
  </si>
  <si>
    <t xml:space="preserve">First mention in issue? (1/0)</t>
  </si>
  <si>
    <t xml:space="preserve">NYC Off Tech — OCTOBER (2025)</t>
  </si>
  <si>
    <t xml:space="preserve">https://buttondown.com/nycofftech/archive/nyc-off-tech-october/</t>
  </si>
  <si>
    <t xml:space="preserve">Harvest Moon Party</t>
  </si>
  <si>
    <t xml:space="preserve">SoRA Attention Lab "COALITION"</t>
  </si>
  <si>
    <t xml:space="preserve">ENSHITTIFICATION w/ Cory Doctorow &amp; Lina Khan</t>
  </si>
  <si>
    <t xml:space="preserve">DELETE DAY</t>
  </si>
  <si>
    <t xml:space="preserve">Time to Refuse</t>
  </si>
  <si>
    <t xml:space="preserve">Say Hi IRL (tabling)</t>
  </si>
  <si>
    <t xml:space="preserve">'Monthly Molting' Ecology Workshop</t>
  </si>
  <si>
    <t xml:space="preserve">Offline Book Club: Superbloom</t>
  </si>
  <si>
    <t xml:space="preserve">BOYB: Bring Your Own Book</t>
  </si>
  <si>
    <t xml:space="preserve">Attention Potlucks</t>
  </si>
  <si>
    <t xml:space="preserve">Community-Building Meditation</t>
  </si>
  <si>
    <t xml:space="preserve">Pop-Up Spooky Walk</t>
  </si>
  <si>
    <t xml:space="preserve">RETOOLING</t>
  </si>
  <si>
    <t xml:space="preserve">NYC Off Tech Mid-October Updates (2025)</t>
  </si>
  <si>
    <t xml:space="preserve">https://buttondown.com/nycofftech/archive/nyc-off-tech-mid-october-updates/</t>
  </si>
  <si>
    <t xml:space="preserve">NYC Off Tech — NOVEMBER</t>
  </si>
  <si>
    <t xml:space="preserve">https://buttondown.com/nycofftech/archive/nyc-off-tech-november/</t>
  </si>
  <si>
    <t xml:space="preserve">PSYCHIATRIST &amp; SNACKS</t>
  </si>
  <si>
    <t xml:space="preserve">You Don't Need a Smartphone</t>
  </si>
  <si>
    <t xml:space="preserve">August Lamm &amp; friends</t>
  </si>
  <si>
    <t xml:space="preserve">New Luddism conference</t>
  </si>
  <si>
    <t xml:space="preserve">Beaver Moon Party</t>
  </si>
  <si>
    <t xml:space="preserve">ScreenMime</t>
  </si>
  <si>
    <t xml:space="preserve">M.A.G.L.A.R.&amp;O!</t>
  </si>
  <si>
    <t xml:space="preserve">BE A NEW YORKER 101</t>
  </si>
  <si>
    <t xml:space="preserve">Lamp Club</t>
  </si>
  <si>
    <t xml:space="preserve">Passion Party: Parallel Play</t>
  </si>
  <si>
    <t xml:space="preserve">SoRA Train-the-Trainer</t>
  </si>
  <si>
    <t xml:space="preserve">Offline Book Club: Filterworld</t>
  </si>
  <si>
    <t xml:space="preserve">Attention Lab SANCTUARY</t>
  </si>
  <si>
    <t xml:space="preserve">BYOB: Bring Your Own Book</t>
  </si>
  <si>
    <t xml:space="preserve">BUY NOTHING DAY</t>
  </si>
  <si>
    <t xml:space="preserve">Spotify Deletion Dance Party</t>
  </si>
  <si>
    <t xml:space="preserve">NYC Off Tech Mid-November Updates</t>
  </si>
  <si>
    <t xml:space="preserve">https://buttondown.com/nycofftech/archive/nyc-off-tech-mid-november-updates/</t>
  </si>
  <si>
    <t xml:space="preserve">SHOULD WE GET OFF?</t>
  </si>
  <si>
    <t xml:space="preserve">Consumption Book Club: Land of Milk and Honey</t>
  </si>
  <si>
    <t xml:space="preserve">Consumption Book Club</t>
  </si>
  <si>
    <t xml:space="preserve">'Monthly Molting' Ecology Workshop (Ginkgo)</t>
  </si>
  <si>
    <t xml:space="preserve">NYC Off Tech — DECEMBER</t>
  </si>
  <si>
    <t xml:space="preserve">https://buttondown.com/nycofftech/archive/nyc-off-tech-december/</t>
  </si>
  <si>
    <t xml:space="preserve">Cold Moon Party</t>
  </si>
  <si>
    <t xml:space="preserve">Spotify Unwrapped</t>
  </si>
  <si>
    <t xml:space="preserve">boshi's place &amp; Lamp Club</t>
  </si>
  <si>
    <t xml:space="preserve">How Do We Play?: Parallel Play</t>
  </si>
  <si>
    <t xml:space="preserve">ACTION Potluck</t>
  </si>
  <si>
    <t xml:space="preserve">Idealist Poetry Showcase</t>
  </si>
  <si>
    <t xml:space="preserve">Sedona Rose (Listening Lab)</t>
  </si>
  <si>
    <t xml:space="preserve">Press Play Fair</t>
  </si>
  <si>
    <t xml:space="preserve">Monthly Molting: Goose</t>
  </si>
  <si>
    <t xml:space="preserve">Christmas Presence w/ August Lamm &amp; Andy Henley</t>
  </si>
  <si>
    <t xml:space="preserve">Offline Book Club: Mood Machine</t>
  </si>
  <si>
    <t xml:space="preserve">NYC Off Tech — Mid-December Updates</t>
  </si>
  <si>
    <t xml:space="preserve">https://buttondown.com/nycofftech/archive/nyc-off-tech-mid-december-updates/</t>
  </si>
  <si>
    <t xml:space="preserve">New Year's DELETE DAY</t>
  </si>
  <si>
    <t xml:space="preserve">NYC Off Tech — JANUARY</t>
  </si>
  <si>
    <t xml:space="preserve">https://buttondown.com/nycofftech/archive/nyc-off-tech-january/</t>
  </si>
  <si>
    <t xml:space="preserve">Poster Party BROOKLYN</t>
  </si>
  <si>
    <t xml:space="preserve">SoRA community</t>
  </si>
  <si>
    <t xml:space="preserve">New Year's Delete Day</t>
  </si>
  <si>
    <t xml:space="preserve">Wolf Moon</t>
  </si>
  <si>
    <t xml:space="preserve">SoRA Attention Lab STUDY</t>
  </si>
  <si>
    <t xml:space="preserve">Poster Party MANHATTAN</t>
  </si>
  <si>
    <t xml:space="preserve">LETTING GO (M.A.G.L.A.R.O!)</t>
  </si>
  <si>
    <t xml:space="preserve">Offline Book Club: Hum</t>
  </si>
  <si>
    <t xml:space="preserve">ATTENSITY! Flash Mob</t>
  </si>
  <si>
    <t xml:space="preserve">An Evening of Music (Andy &amp; August)</t>
  </si>
  <si>
    <t xml:space="preserve">Appstinence IRL Office Hours</t>
  </si>
  <si>
    <t xml:space="preserve">Action Potluck</t>
  </si>
  <si>
    <t xml:space="preserve">Circle Time (Parallel Play)</t>
  </si>
  <si>
    <t xml:space="preserve">Event Facilitator Training</t>
  </si>
  <si>
    <t xml:space="preserve">NYC Off Tech — Mid-January Updates</t>
  </si>
  <si>
    <t xml:space="preserve">https://buttondown.com/nycofftech/archive/nyc-off-tech-mid-january-updates/</t>
  </si>
  <si>
    <t xml:space="preserve">Letter Writing Soirée</t>
  </si>
  <si>
    <t xml:space="preserve">Phone-Free Adelphi</t>
  </si>
  <si>
    <t xml:space="preserve">Computer Care Café</t>
  </si>
  <si>
    <t xml:space="preserve">Kyle Barnes &amp; Nick Plante</t>
  </si>
  <si>
    <t xml:space="preserve">Break Up with Google</t>
  </si>
  <si>
    <t xml:space="preserve">Cache Me Outside &amp; CyPurr Collective</t>
  </si>
  <si>
    <t xml:space="preserve">THE EXTRACTION ECONOMY (Tim Wu &amp; Julia Angwin)</t>
  </si>
  <si>
    <t xml:space="preserve">NYC Off Tech — FEBRUARY</t>
  </si>
  <si>
    <t xml:space="preserve">https://buttondown.com/nycofftech/archive/nyc-off-tech-february/</t>
  </si>
  <si>
    <t xml:space="preserve">Attention Lab "STUDY"</t>
  </si>
  <si>
    <t xml:space="preserve">Who Should Decide AI's Future?</t>
  </si>
  <si>
    <t xml:space="preserve">Requiem for the Home Computer Zine Release</t>
  </si>
  <si>
    <t xml:space="preserve">ZineClubNYC</t>
  </si>
  <si>
    <t xml:space="preserve">Attention Lab "SANCTUARY"</t>
  </si>
  <si>
    <t xml:space="preserve">Month Offline Exhibition</t>
  </si>
  <si>
    <t xml:space="preserve">Giorno Poetry Systems Live Programming Resumes</t>
  </si>
  <si>
    <t xml:space="preserve">Giorno Poetry Systems</t>
  </si>
  <si>
    <t xml:space="preserve">LET'S GET OFF TOGETHER</t>
  </si>
  <si>
    <t xml:space="preserve">Attention Lab "COALITION"</t>
  </si>
  <si>
    <t xml:space="preserve">Logan Lane &amp; Damian Thomas</t>
  </si>
  <si>
    <t xml:space="preserve">Games, Art, &amp; Agency</t>
  </si>
  <si>
    <t xml:space="preserve">SNFL Crafternoon</t>
  </si>
  <si>
    <t xml:space="preserve">NYPL / SNFL</t>
  </si>
  <si>
    <t xml:space="preserve">Collaborative Meet Cute</t>
  </si>
  <si>
    <t xml:space="preserve">NYC Off Tech — Mid-February Updates</t>
  </si>
  <si>
    <t xml:space="preserve">Attention Lab STUDY</t>
  </si>
  <si>
    <t xml:space="preserve">https://buttondown.com/nycofftech/archive/nyc-off-tech-mid-february-updates/</t>
  </si>
  <si>
    <t xml:space="preserve">Teaching Creative Tech in the Age of AI</t>
  </si>
  <si>
    <t xml:space="preserve">Break Up with Spotify</t>
  </si>
  <si>
    <t xml:space="preserve">VESSELS: Cotton King and A.I. God</t>
  </si>
  <si>
    <t xml:space="preserve">Taeyoon Choi</t>
  </si>
  <si>
    <t xml:space="preserve">NYC Off Tech — MARCH</t>
  </si>
  <si>
    <t xml:space="preserve">'Ditch Spotify' Mix Tape Swap</t>
  </si>
  <si>
    <t xml:space="preserve">https://buttondown.com/nycofftech/archive/nyc-off-tech-march/</t>
  </si>
  <si>
    <t xml:space="preserve">An Evening of Music (Phone-Free)</t>
  </si>
  <si>
    <t xml:space="preserve">Month Offline kickoff</t>
  </si>
  <si>
    <t xml:space="preserve">Worm Moon</t>
  </si>
  <si>
    <t xml:space="preserve">Sonic Liberation Devices</t>
  </si>
  <si>
    <t xml:space="preserve">President Protocol (play)</t>
  </si>
  <si>
    <t xml:space="preserve">Rodrigo Pocidônio</t>
  </si>
  <si>
    <t xml:space="preserve">Sidewalk Study 'RAVE'</t>
  </si>
  <si>
    <t xml:space="preserve">Sidewalk Study 'NEW RITUALS'</t>
  </si>
  <si>
    <t xml:space="preserve">Sidewalk Study 'SECRET'S OUT!'</t>
  </si>
  <si>
    <t xml:space="preserve">Salon &amp; Ludd Club Doc</t>
  </si>
  <si>
    <t xml:space="preserve">Luddite Club documentary team</t>
  </si>
  <si>
    <t xml:space="preserve">Social Media Horror Stories</t>
  </si>
  <si>
    <t xml:space="preserve">FACE VALUE App Testing</t>
  </si>
  <si>
    <t xml:space="preserve">Offline Book Club: Enshittification</t>
  </si>
  <si>
    <t xml:space="preserve">PATTERN RECOGNITION</t>
  </si>
  <si>
    <t xml:space="preserve">Unplatform: Creatives Workshop</t>
  </si>
  <si>
    <t xml:space="preserve">Left to Their Own Devices: Jon Haidt</t>
  </si>
  <si>
    <t xml:space="preserve">NYC Off Tech — Mid-March Updates</t>
  </si>
  <si>
    <t xml:space="preserve">https://buttondown.com/nycofftech/archive/nyc-off-tech-mid-march-updates/</t>
  </si>
  <si>
    <t xml:space="preserve">Attention Lab COALITION</t>
  </si>
  <si>
    <t xml:space="preserve">LIFE IS WATCHING (Earth Chxrch)</t>
  </si>
  <si>
    <t xml:space="preserve">Earth Chxrch (Rev. Billy)</t>
  </si>
  <si>
    <t xml:space="preserve">SoRA at NYPL (Attention Lab + ATTENSITY talk)</t>
  </si>
  <si>
    <t xml:space="preserve">Month Offline Expo</t>
  </si>
  <si>
    <t xml:space="preserve">Evening with Alex Bores</t>
  </si>
  <si>
    <t xml:space="preserve">NYC Off Tech — APRIL</t>
  </si>
  <si>
    <t xml:space="preserve">SoRA at NYPL</t>
  </si>
  <si>
    <t xml:space="preserve">https://buttondown.com/nycofftech/archive/nyc-off-tech-april/</t>
  </si>
  <si>
    <t xml:space="preserve">Opening Reception: Idea, Score, Process, Object</t>
  </si>
  <si>
    <t xml:space="preserve">Summer of Ludd 'Event Event'</t>
  </si>
  <si>
    <t xml:space="preserve">Unplatform Creatives Workshop</t>
  </si>
  <si>
    <t xml:space="preserve">Break Up with Google Again</t>
  </si>
  <si>
    <t xml:space="preserve">Cache Me Outside</t>
  </si>
  <si>
    <t xml:space="preserve">Offline Book Club: Searches</t>
  </si>
  <si>
    <t xml:space="preserve">Summer of Ludd Music Jam</t>
  </si>
  <si>
    <t xml:space="preserve">Attention Activism 101 IN PERSON</t>
  </si>
  <si>
    <t xml:space="preserve">Czarina Ramos &amp; Nick Plante</t>
  </si>
  <si>
    <t xml:space="preserve">Earth Chxrch w/ Rev. Billy</t>
  </si>
  <si>
    <t xml:space="preserve">Luddite Club (weekly)</t>
  </si>
  <si>
    <t xml:space="preserve">ATTENTION IS A SCHOOL: SoRA Workshops</t>
  </si>
  <si>
    <t xml:space="preserve">Mass Reading of "Howl"</t>
  </si>
  <si>
    <t xml:space="preserve">Adam Aleksic, Jeremy Ornstein &amp; Nick Plante</t>
  </si>
  <si>
    <t xml:space="preserve">NYC Off Tech — Mid-April Updates</t>
  </si>
  <si>
    <t xml:space="preserve">https://buttondown.com/nycofftech/archive/nyc-off-tech-mid-april-updates/</t>
  </si>
  <si>
    <t xml:space="preserve">Attention Lab at NoAD</t>
  </si>
  <si>
    <t xml:space="preserve">SoL Music Jamboree</t>
  </si>
  <si>
    <t xml:space="preserve">Sunset in Silence (Astachal)</t>
  </si>
  <si>
    <t xml:space="preserve">Digital Security Workshop</t>
  </si>
  <si>
    <t xml:space="preserve">WILD IRIS Sidewalk Study</t>
  </si>
  <si>
    <t xml:space="preserve">Marcela Mulholland &amp; Ethan Luk</t>
  </si>
  <si>
    <t xml:space="preserve">Devotion and Distraction Talk</t>
  </si>
  <si>
    <t xml:space="preserve">RED TIDE Sidewalk Study</t>
  </si>
  <si>
    <t xml:space="preserve">"Howl" Mass Reading</t>
  </si>
  <si>
    <t xml:space="preserve">Skin in the Game: Experiments in PlayDating</t>
  </si>
  <si>
    <t xml:space="preserve">NYC Off Tech — MAY</t>
  </si>
  <si>
    <t xml:space="preserve">https://buttondown.com/nycofftech/archive/nyc-off-tech-may/</t>
  </si>
  <si>
    <t xml:space="preserve">Flower Moon + May Day</t>
  </si>
  <si>
    <t xml:space="preserve">TWC: Ghost in the Machine Screening</t>
  </si>
  <si>
    <t xml:space="preserve">Leafing Out</t>
  </si>
  <si>
    <t xml:space="preserve">MENding</t>
  </si>
  <si>
    <t xml:space="preserve">"HOWL" Mass Reading</t>
  </si>
  <si>
    <t xml:space="preserve">nyc luddites</t>
  </si>
  <si>
    <t xml:space="preserve">AI &amp; Environmental Justice</t>
  </si>
  <si>
    <t xml:space="preserve">Counterstream &amp; SoRA</t>
  </si>
  <si>
    <t xml:space="preserve">SofAI Launch</t>
  </si>
  <si>
    <t xml:space="preserve">Sofia Antebi</t>
  </si>
  <si>
    <t xml:space="preserve">"Event Event" (SoL Open House)</t>
  </si>
  <si>
    <t xml:space="preserve">Attention Lab (Rose Garden special)</t>
  </si>
  <si>
    <t xml:space="preserve">Newsreel Launch: The Feed Is Cooked</t>
  </si>
  <si>
    <t xml:space="preserve">NYC Event Organizers Meetup</t>
  </si>
  <si>
    <t xml:space="preserve">SoL End-of-Month Meeting</t>
  </si>
  <si>
    <t xml:space="preserve">Walt Whitman All Night</t>
  </si>
  <si>
    <t xml:space="preserve">Peter Schmidt &amp; Nick Plante (SoRA)</t>
  </si>
  <si>
    <t xml:space="preserve">Earth Chxrch</t>
  </si>
  <si>
    <t xml:space="preserve">NYC Off Tech — Mid-May Updates</t>
  </si>
  <si>
    <t xml:space="preserve">https://buttondown.com/nycofftech/archive/nyc-off-tech-mid-may-updates/</t>
  </si>
  <si>
    <t xml:space="preserve">TWC: Ghost in the Machine</t>
  </si>
  <si>
    <t xml:space="preserve">Attention Lab PROSPECT PARK</t>
  </si>
  <si>
    <t xml:space="preserve">Newsreel: Feed Is Cooked</t>
  </si>
  <si>
    <t xml:space="preserve">Global Endurance Collective</t>
  </si>
  <si>
    <t xml:space="preserve">Escape the Internet</t>
  </si>
  <si>
    <t xml:space="preserve">Lucas Rizzotto</t>
  </si>
  <si>
    <t xml:space="preserve">Summer of Ludd End-of-Month Meeting</t>
  </si>
  <si>
    <t xml:space="preserve">Airplane Mode (Phone-Free)</t>
  </si>
  <si>
    <t xml:space="preserve">Cut the Chord Concert</t>
  </si>
  <si>
    <t xml:space="preserve">The Vinyl Word × dumb.co</t>
  </si>
  <si>
    <t xml:space="preserve">Earth Chrxch</t>
  </si>
  <si>
    <t xml:space="preserve">"Your Attention Please" NY Premiere</t>
  </si>
  <si>
    <t xml:space="preserve">NYC Off Tech — JUNE</t>
  </si>
  <si>
    <t xml:space="preserve">https://buttondown.com/nycofftech/archive/nyc-off-tech-june/</t>
  </si>
  <si>
    <t xml:space="preserve">Attention Lab: STUDY</t>
  </si>
  <si>
    <t xml:space="preserve">Beyond "Dark Flow" — Boshi's &amp; SoRA Opening</t>
  </si>
  <si>
    <t xml:space="preserve">boshi's place &amp; SoRA</t>
  </si>
  <si>
    <t xml:space="preserve">'Event Event' Facilitation Workshop</t>
  </si>
  <si>
    <t xml:space="preserve">Covering the Environment When the Data Disappears</t>
  </si>
  <si>
    <t xml:space="preserve">Month Offline Gallery Exhibition</t>
  </si>
  <si>
    <t xml:space="preserve">Hat Making &amp; Teach-in ("BREAD AND PUPPET")</t>
  </si>
  <si>
    <t xml:space="preserve">Hat Making &amp; Teach-in ("DOGMA OR DIE")</t>
  </si>
  <si>
    <t xml:space="preserve">ChatGTFO</t>
  </si>
  <si>
    <t xml:space="preserve">Young People's Alliance, QuitGPT &amp; coalition</t>
  </si>
  <si>
    <t xml:space="preserve">Attention Lab: SANCTUARY</t>
  </si>
  <si>
    <t xml:space="preserve">NYPL Offline Book Club: The Machine Stops</t>
  </si>
  <si>
    <t xml:space="preserve">Attention Lab: COALITION</t>
  </si>
  <si>
    <t xml:space="preserve">SoL Press Conference</t>
  </si>
  <si>
    <t xml:space="preserve">Quiet Reading (weekly)</t>
  </si>
  <si>
    <t xml:space="preserve">Off Tech Tabling (weekly)</t>
  </si>
  <si>
    <t xml:space="preserve">Public Art Builds</t>
  </si>
  <si>
    <t xml:space="preserve">Summer of Ludd Opening Ceremony</t>
  </si>
  <si>
    <t xml:space="preserve">Make Your Own Community Calendars</t>
  </si>
  <si>
    <t xml:space="preserve">Luddite Conference on Participatory Futures</t>
  </si>
  <si>
    <t xml:space="preserve">SHITPHONE</t>
  </si>
  <si>
    <t xml:space="preserve">NYC Off Tech — Mid-June Updates</t>
  </si>
  <si>
    <t xml:space="preserve">https://buttondown.com/nycofftech/archive/nyc-off-tech-mid-june-updates/</t>
  </si>
  <si>
    <t xml:space="preserve">Beyond "Dark Flow" Opening</t>
  </si>
  <si>
    <t xml:space="preserve">When the Data Disappears</t>
  </si>
  <si>
    <t xml:space="preserve">Pre-SoL Teach-in</t>
  </si>
  <si>
    <t xml:space="preserve">ChatGTFO!</t>
  </si>
  <si>
    <t xml:space="preserve">Commonality Salon #1</t>
  </si>
  <si>
    <t xml:space="preserve">Commonality magazine</t>
  </si>
  <si>
    <t xml:space="preserve">Experimental Games Presentations w/ boshi's place</t>
  </si>
  <si>
    <t xml:space="preserve">PATTERN RECOGNITION: Mario Kart</t>
  </si>
  <si>
    <t xml:space="preserve">Sidewalk Study: Reshaping Relations</t>
  </si>
  <si>
    <t xml:space="preserve">SoL Prop Builds</t>
  </si>
  <si>
    <t xml:space="preserve">What Are You Doing Tonight? Make Your Own Event Calendar</t>
  </si>
  <si>
    <t xml:space="preserve">Damian Thomas (Unplatform)</t>
  </si>
  <si>
    <t xml:space="preserve">Summer of Ludd Schedule</t>
  </si>
  <si>
    <t xml:space="preserve">Museum of Interesting Things: 16mm Speakeasy</t>
  </si>
  <si>
    <t xml:space="preserve">https://buttondown.com/nycofftech/archive/summer-of-ludd-schedule/</t>
  </si>
  <si>
    <t xml:space="preserve">Intro to Self-Defense</t>
  </si>
  <si>
    <t xml:space="preserve">Luddite Club Tea Party</t>
  </si>
  <si>
    <t xml:space="preserve">My Stitchwork is Garbage: Saddle Stitching Workshop</t>
  </si>
  <si>
    <t xml:space="preserve">Glenn Blurton's Clown Clar</t>
  </si>
  <si>
    <t xml:space="preserve">Glenn Blurton</t>
  </si>
  <si>
    <t xml:space="preserve">One Billion Souls Dream Weaving Ceremony</t>
  </si>
  <si>
    <t xml:space="preserve">Sunday Pride with ACT UP</t>
  </si>
  <si>
    <t xml:space="preserve">ACT UP</t>
  </si>
  <si>
    <t xml:space="preserve">Strawberry Moon Ritual</t>
  </si>
  <si>
    <t xml:space="preserve">What Are You Doing Tonight? Start Your Own Events Calendar</t>
  </si>
  <si>
    <t xml:space="preserve">Special Screening: 'It Came From the Basement'</t>
  </si>
  <si>
    <t xml:space="preserve">Google In Real Life</t>
  </si>
  <si>
    <t xml:space="preserve">What Is the Summer of Ludd? + Clean Up the Park</t>
  </si>
  <si>
    <t xml:space="preserve">Music, Literature, Techno-Criticism, Peace, and Love</t>
  </si>
  <si>
    <t xml:space="preserve">Jews On Time</t>
  </si>
  <si>
    <t xml:space="preserve">Defense Against the (Big Tech) Dark Arts</t>
  </si>
  <si>
    <t xml:space="preserve">Tech Reclaimers &amp; Opt Out Project</t>
  </si>
  <si>
    <t xml:space="preserve">Stevie Wonder vs. The Nazis Teach-In</t>
  </si>
  <si>
    <t xml:space="preserve">Men-ding Workshop</t>
  </si>
  <si>
    <t xml:space="preserve">New Rat City</t>
  </si>
  <si>
    <t xml:space="preserve">Introducing the First Fully Offline Presidential Candidate</t>
  </si>
  <si>
    <t xml:space="preserve">Mass Poetry Reading</t>
  </si>
  <si>
    <t xml:space="preserve">Public Interest Postal Service Zine Making</t>
  </si>
  <si>
    <t xml:space="preserve">Public Interest Postal Service</t>
  </si>
  <si>
    <t xml:space="preserve">Live Texting</t>
  </si>
  <si>
    <t xml:space="preserve">Pure Lunacy [postponed]</t>
  </si>
  <si>
    <t xml:space="preserve">Radio in Public Space (RIPS)</t>
  </si>
  <si>
    <t xml:space="preserve">Attention Activism Teach-In</t>
  </si>
  <si>
    <t xml:space="preserve">Paper Route: Bicycle Doodle Tour</t>
  </si>
  <si>
    <t xml:space="preserve">Cantastoria Workshop</t>
  </si>
  <si>
    <t xml:space="preserve">Bread and Puppet &amp; Boxcutter Collective</t>
  </si>
  <si>
    <t xml:space="preserve">'The Foot' Performance</t>
  </si>
  <si>
    <t xml:space="preserve">We Are All Already Cyborgs (Teach-In)</t>
  </si>
  <si>
    <t xml:space="preserve">Not One, Not Two: Meditative Exploration of Attention</t>
  </si>
  <si>
    <t xml:space="preserve">Instructions on Getting Lost</t>
  </si>
  <si>
    <t xml:space="preserve">Luddite Recreations Theatre Performance</t>
  </si>
  <si>
    <t xml:space="preserve">Group Hug</t>
  </si>
  <si>
    <t xml:space="preserve">Puppet Experimentation [cancelled]</t>
  </si>
  <si>
    <t xml:space="preserve">Boxcutter Collective</t>
  </si>
  <si>
    <t xml:space="preserve">Visible Mending [cancelled]</t>
  </si>
  <si>
    <t xml:space="preserve">Deep Listening</t>
  </si>
  <si>
    <t xml:space="preserve">The Artist Is Not Present</t>
  </si>
  <si>
    <t xml:space="preserve">Your Phone Is 4.6 Billion Years Old</t>
  </si>
  <si>
    <t xml:space="preserve">Bread and Puppet Puppet Show</t>
  </si>
  <si>
    <t xml:space="preserve">Bread &amp; Puppet</t>
  </si>
  <si>
    <t xml:space="preserve">Field Day! Cooperative Games</t>
  </si>
  <si>
    <t xml:space="preserve">Music Jamboree &amp; Open Mic (multiple days)</t>
  </si>
  <si>
    <t xml:space="preserve">Yerba Mate Ceremony [cancelled]</t>
  </si>
  <si>
    <t xml:space="preserve">Natasha (The Mate Monologues)</t>
  </si>
  <si>
    <t xml:space="preserve">Taking Back Our Territory Teach-in [cancelled]</t>
  </si>
  <si>
    <t xml:space="preserve">Soil Chromatography</t>
  </si>
  <si>
    <t xml:space="preserve">Radical Imagination</t>
  </si>
  <si>
    <t xml:space="preserve">Against the Attention Harvest</t>
  </si>
  <si>
    <t xml:space="preserve">Street Clowning Workshop</t>
  </si>
  <si>
    <t xml:space="preserve">Tompkins Sq. History Lesson</t>
  </si>
  <si>
    <t xml:space="preserve">On Luddite Rizz</t>
  </si>
  <si>
    <t xml:space="preserve">Puppet Show: 7 Dances for the End of the World</t>
  </si>
  <si>
    <t xml:space="preserve">Embodying Tech Justice [cancelled]</t>
  </si>
  <si>
    <t xml:space="preserve">Community Tapestry</t>
  </si>
  <si>
    <t xml:space="preserve">A Performance by Boxcutter Collective</t>
  </si>
  <si>
    <t xml:space="preserve">Human Scavenger Hunt</t>
  </si>
  <si>
    <t xml:space="preserve">Don't Be Afraid of the Dark</t>
  </si>
  <si>
    <t xml:space="preserve">Daily Meditation (daily)</t>
  </si>
  <si>
    <t xml:space="preserve">AI Data Centers Teach-In</t>
  </si>
  <si>
    <t xml:space="preserve">How to Talk with a Tree</t>
  </si>
  <si>
    <t xml:space="preserve">S.H.I.T.P.H.O.N.E.</t>
  </si>
  <si>
    <t xml:space="preserve">'Anna By The Window' Screening + Brainrot Detox</t>
  </si>
  <si>
    <t xml:space="preserve">Luddite Recreations Theatre + Opening/Closing performances</t>
  </si>
  <si>
    <t xml:space="preserve">FREE LUNCH (daily)</t>
  </si>
  <si>
    <t xml:space="preserve">Closing Ceremony</t>
  </si>
  <si>
    <t xml:space="preserve">Lady Ludd (SoL)</t>
  </si>
  <si>
    <t xml:space="preserve">Organizing and the Internet</t>
  </si>
  <si>
    <t xml:space="preserve">Miming in the Park</t>
  </si>
  <si>
    <t xml:space="preserve">We can have this all summer</t>
  </si>
  <si>
    <t xml:space="preserve">Summer of Ludd (still going strong)</t>
  </si>
  <si>
    <t xml:space="preserve">https://buttondown.com/nycofftech/archive/we-can-have-this-all-summer/</t>
  </si>
  <si>
    <t xml:space="preserve">NYC Off Tech — Mid-July Updates</t>
  </si>
  <si>
    <t xml:space="preserve">RAD Collective Soft Launch Picnic</t>
  </si>
  <si>
    <t xml:space="preserve">RAD Collective</t>
  </si>
  <si>
    <t xml:space="preserve">https://buttondown.com/nycofftech/archive/nyc-off-tech-mid-july-updates/</t>
  </si>
  <si>
    <t xml:space="preserve">Luddite Club Tompkins OPENING CELEBRATION</t>
  </si>
  <si>
    <t xml:space="preserve">boshi's spontaneous orchestra</t>
  </si>
  <si>
    <t xml:space="preserve">Unplug: A New Moon Ritual</t>
  </si>
  <si>
    <t xml:space="preserve">Luddite Dating Ad Creation [postponed]</t>
  </si>
  <si>
    <t xml:space="preserve">LUDD LOVER</t>
  </si>
  <si>
    <t xml:space="preserve">New Rat City [postponed]</t>
  </si>
  <si>
    <t xml:space="preserve">Theory of the Earth Teach-In</t>
  </si>
  <si>
    <t xml:space="preserve">Henry &amp; Connor</t>
  </si>
  <si>
    <t xml:space="preserve">Offline Book Club: More Than Words</t>
  </si>
  <si>
    <t xml:space="preserve">Landscape Art</t>
  </si>
  <si>
    <t xml:space="preserve">The Living Room</t>
  </si>
  <si>
    <t xml:space="preserve">How to Throw a Party</t>
  </si>
  <si>
    <t xml:space="preserve">Come write a scathing postcard</t>
  </si>
  <si>
    <t xml:space="preserve">boshi's lecture series: C. Thi Nguyen</t>
  </si>
  <si>
    <t xml:space="preserve">CyPurr Collective: AI and You</t>
  </si>
  <si>
    <t xml:space="preserve">Trephelobia Poetry Circle</t>
  </si>
  <si>
    <t xml:space="preserve">BrooklynHike</t>
  </si>
  <si>
    <t xml:space="preserve">Contact improv jam &amp; open decks</t>
  </si>
  <si>
    <t xml:space="preserve">Event Runners</t>
  </si>
  <si>
    <t xml:space="preserve">Naming Ceremony</t>
  </si>
  <si>
    <t xml:space="preserve">Anna by the Window Special Screenings</t>
  </si>
  <si>
    <t xml:space="preserve">Guided Nature Walk</t>
  </si>
  <si>
    <t xml:space="preserve">Life Drawing</t>
  </si>
  <si>
    <t xml:space="preserve">Quazar Radio</t>
  </si>
  <si>
    <t xml:space="preserve">Quazar</t>
  </si>
  <si>
    <t xml:space="preserve">Buck Moon Ritual</t>
  </si>
  <si>
    <t xml:space="preserve">MASS FOR THE MAGNETIC FIELD</t>
  </si>
  <si>
    <t xml:space="preserve">Junk Journal Night</t>
  </si>
  <si>
    <t xml:space="preserve">Dan's Phone Free Birthday Bash</t>
  </si>
  <si>
    <t xml:space="preserve">NYC Off Tech — AUGUST</t>
  </si>
  <si>
    <t xml:space="preserve">Aarati Akkapeddi</t>
  </si>
  <si>
    <t xml:space="preserve">https://buttondown.com/nycofftech/archive/nyc-off-tech-august/</t>
  </si>
  <si>
    <t xml:space="preserve">Luddite Club PAPER ROUTE</t>
  </si>
  <si>
    <t xml:space="preserve">Singles Dating Using Palantir Data</t>
  </si>
  <si>
    <t xml:space="preserve">Month Offline &amp; dumb.co</t>
  </si>
  <si>
    <t xml:space="preserve">Conflict Lab</t>
  </si>
  <si>
    <t xml:space="preserve">Physical Media Swap [cancelled]</t>
  </si>
  <si>
    <t xml:space="preserve">OPT OUT OF UTOPIA: an art pop-up</t>
  </si>
  <si>
    <t xml:space="preserve">Young People's Alliance &amp; friends</t>
  </si>
  <si>
    <t xml:space="preserve">Offline Book Club: Moderation</t>
  </si>
  <si>
    <t xml:space="preserve">Radical Attention &amp; Economies of Care</t>
  </si>
  <si>
    <t xml:space="preserve">Josh</t>
  </si>
  <si>
    <t xml:space="preserve">Attention Sanctuary Salon</t>
  </si>
  <si>
    <t xml:space="preserve">Tech Policy Q&amp;A</t>
  </si>
  <si>
    <t xml:space="preserve">Kendall Schrohe</t>
  </si>
  <si>
    <t xml:space="preserve">Vainglory Record Release Show</t>
  </si>
  <si>
    <t xml:space="preserve">Miles Hewitt</t>
  </si>
  <si>
    <t xml:space="preserve">STRANGERS Teach-In</t>
  </si>
  <si>
    <t xml:space="preserve">Nick (NYC Off Tech)</t>
  </si>
  <si>
    <t xml:space="preserve">NYC Off Tech — Mid-August Updates</t>
  </si>
  <si>
    <t xml:space="preserve">https://buttondown.com/nycofftech/archive/nyc-off-tech-mid-august-updates/</t>
  </si>
  <si>
    <t xml:space="preserve">Soldering for Beginners II</t>
  </si>
  <si>
    <t xml:space="preserve">Sewing Repair Café (Part Deux)</t>
  </si>
  <si>
    <t xml:space="preserve">Leftist Buddhist Book Club</t>
  </si>
  <si>
    <t xml:space="preserve">Max</t>
  </si>
  <si>
    <t xml:space="preserve">INFRASTRUCTURE PARTY! (rooftop)</t>
  </si>
  <si>
    <t xml:space="preserve">New Moon Study Group: Amusing Ourselves To Death</t>
  </si>
  <si>
    <t xml:space="preserve">NYC Off Tech — SEPTEMBER</t>
  </si>
  <si>
    <t xml:space="preserve">Fall in Love with the City</t>
  </si>
  <si>
    <t xml:space="preserve">https://buttondown.com/nycofftech/archive/nyc-off-tech-september/</t>
  </si>
  <si>
    <t xml:space="preserve">Prospect Park Sunset Circlesing</t>
  </si>
  <si>
    <t xml:space="preserve">Let's Get Off Together DJs</t>
  </si>
  <si>
    <t xml:space="preserve">Intro to Creative Coding</t>
  </si>
  <si>
    <t xml:space="preserve">JAMBOREE (Street Jamboree)</t>
  </si>
  <si>
    <t xml:space="preserve">NYPL Offline Book Club: Resisting Big Tech</t>
  </si>
  <si>
    <t xml:space="preserve">EYE-CATCH! Fashion Show</t>
  </si>
  <si>
    <t xml:space="preserve">TEDxCarnegie Hill</t>
  </si>
  <si>
    <t xml:space="preserve">How to Throw a Party at the End of the World</t>
  </si>
  <si>
    <t xml:space="preserve">Corn Moon</t>
  </si>
  <si>
    <t xml:space="preserve">Druid School (twice weekly)</t>
  </si>
  <si>
    <t xml:space="preserve">Epistolary Explorations</t>
  </si>
  <si>
    <t xml:space="preserve">NYC Off Tech — Mid-September Updates</t>
  </si>
  <si>
    <t xml:space="preserve">https://buttondown.com/nycofftech/archive/nyc-off-tech-mid-september-updates/</t>
  </si>
  <si>
    <t xml:space="preserve">JAMBOREE</t>
  </si>
  <si>
    <t xml:space="preserve">Friendly Stranger Studios &amp; Quazar</t>
  </si>
  <si>
    <t xml:space="preserve">CDNY: SWING &amp; SET</t>
  </si>
  <si>
    <t xml:space="preserve">EYE-CATCH! Fashion Show &amp; Dance Party</t>
  </si>
  <si>
    <t xml:space="preserve">Jasmine Zimmerman</t>
  </si>
  <si>
    <t xml:space="preserve">Speed Book Clubbing</t>
  </si>
  <si>
    <t xml:space="preserve">Commonplace.NYC</t>
  </si>
  <si>
    <t xml:space="preserve">How to Throw a Party at the End of the World [cancelled]</t>
  </si>
  <si>
    <t xml:space="preserve">"Song of Myself" Marathon</t>
  </si>
  <si>
    <t xml:space="preserve">Who Gets to Decide How AI Enters Our Schools?</t>
  </si>
  <si>
    <t xml:space="preserve">Data &amp; Society</t>
  </si>
  <si>
    <t xml:space="preserve">Attention Lab FASHION</t>
  </si>
  <si>
    <t xml:space="preserve">Church of Stop Shopping</t>
  </si>
  <si>
    <t xml:space="preserve">Communal Letter Writing (Crown Heights)</t>
  </si>
  <si>
    <t xml:space="preserve">Communal Letter Writing (Astoria)</t>
  </si>
  <si>
    <t xml:space="preserve">Communal Letter Writing (East Village)</t>
  </si>
  <si>
    <t xml:space="preserve">Will and Attention Book Club</t>
  </si>
  <si>
    <t xml:space="preserve">Communal Letter Writing (UWS)</t>
  </si>
  <si>
    <t xml:space="preserve">Communal Letter Writing (Williamsburg)</t>
  </si>
  <si>
    <t xml:space="preserve">NYC Off Tech — OCTOBER (2026)</t>
  </si>
  <si>
    <t xml:space="preserve">https://buttondown.com/nycofftech/archive/nyc-off-tech-october-26/</t>
  </si>
  <si>
    <t xml:space="preserve">EYECATCH! Exhibition Opening</t>
  </si>
  <si>
    <t xml:space="preserve">Phone Free Fridays Launch</t>
  </si>
  <si>
    <t xml:space="preserve">MoMI LAB, Light Phone &amp; Dan Fox</t>
  </si>
  <si>
    <t xml:space="preserve">Makerspace Open House</t>
  </si>
  <si>
    <t xml:space="preserve">Songwriter Circle</t>
  </si>
  <si>
    <t xml:space="preserve">Lazlo</t>
  </si>
  <si>
    <t xml:space="preserve">Attention Lab WORLDBUILDING</t>
  </si>
  <si>
    <t xml:space="preserve">IHATEMYPHONEILOVEMYPHONE</t>
  </si>
  <si>
    <t xml:space="preserve">Local Multiplayer</t>
  </si>
  <si>
    <t xml:space="preserve">October New Moon Study Circle: Technopoly</t>
  </si>
  <si>
    <t xml:space="preserve">LETTER WRITING CIRCLE (Crown Heights)</t>
  </si>
  <si>
    <t xml:space="preserve">Offline Book Club: Martyr Loser King</t>
  </si>
  <si>
    <t xml:space="preserve">LUDD LOVERS Zine Party</t>
  </si>
  <si>
    <t xml:space="preserve">GET LOST DAY</t>
  </si>
  <si>
    <t xml:space="preserve">LETTER WRITING CIRCLE (East Village)</t>
  </si>
  <si>
    <t xml:space="preserve">Phone Free Comedy w/ Dan Fox</t>
  </si>
  <si>
    <t xml:space="preserve">Spooky Synthesizer Show and Tell</t>
  </si>
  <si>
    <t xml:space="preserve">LETTER WRITING CIRCLE (UWS)</t>
  </si>
  <si>
    <t xml:space="preserve">LETTER WRITING CIRCLE (Williamsburg)</t>
  </si>
  <si>
    <t xml:space="preserve">Capture the Future</t>
  </si>
  <si>
    <t xml:space="preserve">Prof. Namwali Serpell</t>
  </si>
  <si>
    <t xml:space="preserve">Mad Hatchery</t>
  </si>
  <si>
    <t xml:space="preserve">NYC Off Tech — Mid-October Updates (2026)</t>
  </si>
  <si>
    <t xml:space="preserve">https://buttondown.com/nycofftech/archive/nyc-off-tech-mid-october-updates-26/</t>
  </si>
  <si>
    <t xml:space="preserve">Attention Lab FOR TEACHERS</t>
  </si>
  <si>
    <t xml:space="preserve">We're Ready to (Dis)believe You</t>
  </si>
  <si>
    <t xml:space="preserve">Attention Lab FEAR</t>
  </si>
  <si>
    <t xml:space="preserve">contact improv jam &amp; open decks</t>
  </si>
  <si>
    <t xml:space="preserve">MoMI, Light Phone &amp; Dan Fox</t>
  </si>
  <si>
    <t xml:space="preserve">Capture the Future (phone-free Halloween party)</t>
  </si>
  <si>
    <t xml:space="preserve">Hidden City Halloween "Demons of Litchfield Villa"</t>
  </si>
  <si>
    <t xml:space="preserve">About this workbook</t>
  </si>
  <si>
    <t xml:space="preserve">Source</t>
  </si>
  <si>
    <t xml:space="preserve">Every issue in the NYC Off Tech archive (buttondown.com/nycofftech/archive), 27 issues from Oct 2, 2025 through Oct 16, 2026, read Oct 26, 2026.</t>
  </si>
  <si>
    <t xml:space="preserve">What counts as a reference</t>
  </si>
  <si>
    <t xml:space="preserve">One event listing in one issue. If a mid-month update re-lists an event from the monthly issue, that's a second reference. A recurring series (e.g. weekly Crafternoon) counts once per issue, dated to its last listed occurrence in that issue.</t>
  </si>
  <si>
    <t xml:space="preserve">Times referenced vs. Issues referencing</t>
  </si>
  <si>
    <t xml:space="preserve">'Times referenced' counts event listings; 'Issues referencing' counts how many distinct issues mention the venue at all.</t>
  </si>
  <si>
    <t xml:space="preserve">Most recent reference</t>
  </si>
  <si>
    <t xml:space="preserve">Latest issue that listed the venue. 'Latest event date listed' can be in the future (e.g. November events in the mid-October issue).</t>
  </si>
  <si>
    <t xml:space="preserve">Mode of the hosts named in listings for that venue; blank-host listings are ignored. Ties are broken by most recent listing and flagged. Host names were lightly normalized (e.g. 'Chimeras Collective' and 'Kyle Barnes' merged; all 'SoRA' variants merged; Study Corps kept separate). For the Summer of Ludd festival schedule, events without a named host are credited to Summer of Ludd.</t>
  </si>
  <si>
    <t xml:space="preserve">Venue merges</t>
  </si>
  <si>
    <t xml:space="preserve">Name variants were merged: e.g. 'Tompkins Sq. Park'/'Hare Krishna Tree' → Tompkins Square Park; '15 Rutherford Pl.'/'Quaker Meeting House'/'Earth Chxrch' → 15th Street Quaker Meeting House; all SNFL rooms → Stavros Niarchos Foundation Library; 'Central Library'/'Bklyn Central Library' → BPL Central Library; Forum/Bollinger Forum → Columbia; 'the Cube' → Apple Store Fifth Ave; Fallkill Falls/Boathouse/Rose Garden → Prospect Park; 'NoAD' → National Academy of Design.</t>
  </si>
  <si>
    <t xml:space="preserve">DUMBO</t>
  </si>
  <si>
    <t xml:space="preserve">SoRA events listed only as 'DUMBO' are attributed to the Strother School of Radical Attention's DUMBO space (the newsletter places SoRA in Dumbo). SoRA Attention Labs with no location given were treated the same.</t>
  </si>
  <si>
    <t xml:space="preserve">Excluded</t>
  </si>
  <si>
    <t xml:space="preserve">Online/Zoom/Jitsi events, 'TBA'/'TBD', 'Various locations', deadlines, and city-only locations (Kenya, Philadelphia, 'Brooklyn'). Neighborhood-only private addresses ARE included as grey 'Undisclosed address — &lt;neighborhood&gt;' rows.</t>
  </si>
  <si>
    <t xml:space="preserve">Listings were extracted from each issue's web page text; a few calendar-grid-only items with no stated location may be missed, and some event details are images in the original.</t>
  </si>
</sst>
</file>

<file path=xl/styles.xml><?xml version="1.0" encoding="utf-8"?>
<styleSheet xmlns="http://schemas.openxmlformats.org/spreadsheetml/2006/main">
  <numFmts count="2">
    <numFmt numFmtId="164" formatCode="General"/>
    <numFmt numFmtId="165" formatCode="yyyy\-mm\-dd"/>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1"/>
      <color rgb="FFFFFFFF"/>
      <name val="Arial"/>
      <family val="0"/>
      <charset val="1"/>
    </font>
    <font>
      <sz val="10"/>
      <name val="Arial"/>
      <family val="0"/>
      <charset val="1"/>
    </font>
    <font>
      <sz val="10"/>
      <color rgb="FF777777"/>
      <name val="Arial"/>
      <family val="0"/>
      <charset val="1"/>
    </font>
    <font>
      <i val="true"/>
      <sz val="9"/>
      <name val="Arial"/>
      <family val="0"/>
      <charset val="1"/>
    </font>
    <font>
      <u val="single"/>
      <sz val="10"/>
      <color rgb="FF0563C1"/>
      <name val="Arial"/>
      <family val="0"/>
      <charset val="1"/>
    </font>
    <font>
      <b val="true"/>
      <sz val="10"/>
      <name val="Arial"/>
      <family val="0"/>
      <charset val="1"/>
    </font>
  </fonts>
  <fills count="3">
    <fill>
      <patternFill patternType="none"/>
    </fill>
    <fill>
      <patternFill patternType="gray125"/>
    </fill>
    <fill>
      <patternFill patternType="solid">
        <fgColor rgb="FF1F3A5F"/>
        <bgColor rgb="FF333333"/>
      </patternFill>
    </fill>
  </fills>
  <borders count="2">
    <border diagonalUp="false" diagonalDown="false">
      <left/>
      <right/>
      <top/>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777777"/>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FFFCC"/>
      <rgbColor rgb="FFCCFFFF"/>
      <rgbColor rgb="FF660066"/>
      <rgbColor rgb="FFFF8080"/>
      <rgbColor rgb="FF0563C1"/>
      <rgbColor rgb="FFD0D7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buttondown.com/nycofftech/archive/nyc-off-tech-october/" TargetMode="External"/><Relationship Id="rId2" Type="http://schemas.openxmlformats.org/officeDocument/2006/relationships/hyperlink" Target="https://buttondown.com/nycofftech/archive/nyc-off-tech-october/" TargetMode="External"/><Relationship Id="rId3" Type="http://schemas.openxmlformats.org/officeDocument/2006/relationships/hyperlink" Target="https://buttondown.com/nycofftech/archive/nyc-off-tech-october/" TargetMode="External"/><Relationship Id="rId4" Type="http://schemas.openxmlformats.org/officeDocument/2006/relationships/hyperlink" Target="https://buttondown.com/nycofftech/archive/nyc-off-tech-october/" TargetMode="External"/><Relationship Id="rId5" Type="http://schemas.openxmlformats.org/officeDocument/2006/relationships/hyperlink" Target="https://buttondown.com/nycofftech/archive/nyc-off-tech-october/" TargetMode="External"/><Relationship Id="rId6" Type="http://schemas.openxmlformats.org/officeDocument/2006/relationships/hyperlink" Target="https://buttondown.com/nycofftech/archive/nyc-off-tech-october/" TargetMode="External"/><Relationship Id="rId7" Type="http://schemas.openxmlformats.org/officeDocument/2006/relationships/hyperlink" Target="https://buttondown.com/nycofftech/archive/nyc-off-tech-october/" TargetMode="External"/><Relationship Id="rId8" Type="http://schemas.openxmlformats.org/officeDocument/2006/relationships/hyperlink" Target="https://buttondown.com/nycofftech/archive/nyc-off-tech-october/" TargetMode="External"/><Relationship Id="rId9" Type="http://schemas.openxmlformats.org/officeDocument/2006/relationships/hyperlink" Target="https://buttondown.com/nycofftech/archive/nyc-off-tech-october/" TargetMode="External"/><Relationship Id="rId10" Type="http://schemas.openxmlformats.org/officeDocument/2006/relationships/hyperlink" Target="https://buttondown.com/nycofftech/archive/nyc-off-tech-october/" TargetMode="External"/><Relationship Id="rId11" Type="http://schemas.openxmlformats.org/officeDocument/2006/relationships/hyperlink" Target="https://buttondown.com/nycofftech/archive/nyc-off-tech-october/" TargetMode="External"/><Relationship Id="rId12" Type="http://schemas.openxmlformats.org/officeDocument/2006/relationships/hyperlink" Target="https://buttondown.com/nycofftech/archive/nyc-off-tech-october/" TargetMode="External"/><Relationship Id="rId13" Type="http://schemas.openxmlformats.org/officeDocument/2006/relationships/hyperlink" Target="https://buttondown.com/nycofftech/archive/nyc-off-tech-october/" TargetMode="External"/><Relationship Id="rId14" Type="http://schemas.openxmlformats.org/officeDocument/2006/relationships/hyperlink" Target="https://buttondown.com/nycofftech/archive/nyc-off-tech-october/" TargetMode="External"/><Relationship Id="rId15" Type="http://schemas.openxmlformats.org/officeDocument/2006/relationships/hyperlink" Target="https://buttondown.com/nycofftech/archive/nyc-off-tech-october/" TargetMode="External"/><Relationship Id="rId16" Type="http://schemas.openxmlformats.org/officeDocument/2006/relationships/hyperlink" Target="https://buttondown.com/nycofftech/archive/nyc-off-tech-mid-october-updates/" TargetMode="External"/><Relationship Id="rId17" Type="http://schemas.openxmlformats.org/officeDocument/2006/relationships/hyperlink" Target="https://buttondown.com/nycofftech/archive/nyc-off-tech-mid-october-updates/" TargetMode="External"/><Relationship Id="rId18" Type="http://schemas.openxmlformats.org/officeDocument/2006/relationships/hyperlink" Target="https://buttondown.com/nycofftech/archive/nyc-off-tech-mid-october-updates/" TargetMode="External"/><Relationship Id="rId19" Type="http://schemas.openxmlformats.org/officeDocument/2006/relationships/hyperlink" Target="https://buttondown.com/nycofftech/archive/nyc-off-tech-november/" TargetMode="External"/><Relationship Id="rId20" Type="http://schemas.openxmlformats.org/officeDocument/2006/relationships/hyperlink" Target="https://buttondown.com/nycofftech/archive/nyc-off-tech-november/" TargetMode="External"/><Relationship Id="rId21" Type="http://schemas.openxmlformats.org/officeDocument/2006/relationships/hyperlink" Target="https://buttondown.com/nycofftech/archive/nyc-off-tech-november/" TargetMode="External"/><Relationship Id="rId22" Type="http://schemas.openxmlformats.org/officeDocument/2006/relationships/hyperlink" Target="https://buttondown.com/nycofftech/archive/nyc-off-tech-november/" TargetMode="External"/><Relationship Id="rId23" Type="http://schemas.openxmlformats.org/officeDocument/2006/relationships/hyperlink" Target="https://buttondown.com/nycofftech/archive/nyc-off-tech-november/" TargetMode="External"/><Relationship Id="rId24" Type="http://schemas.openxmlformats.org/officeDocument/2006/relationships/hyperlink" Target="https://buttondown.com/nycofftech/archive/nyc-off-tech-november/" TargetMode="External"/><Relationship Id="rId25" Type="http://schemas.openxmlformats.org/officeDocument/2006/relationships/hyperlink" Target="https://buttondown.com/nycofftech/archive/nyc-off-tech-november/" TargetMode="External"/><Relationship Id="rId26" Type="http://schemas.openxmlformats.org/officeDocument/2006/relationships/hyperlink" Target="https://buttondown.com/nycofftech/archive/nyc-off-tech-november/" TargetMode="External"/><Relationship Id="rId27" Type="http://schemas.openxmlformats.org/officeDocument/2006/relationships/hyperlink" Target="https://buttondown.com/nycofftech/archive/nyc-off-tech-november/" TargetMode="External"/><Relationship Id="rId28" Type="http://schemas.openxmlformats.org/officeDocument/2006/relationships/hyperlink" Target="https://buttondown.com/nycofftech/archive/nyc-off-tech-november/" TargetMode="External"/><Relationship Id="rId29" Type="http://schemas.openxmlformats.org/officeDocument/2006/relationships/hyperlink" Target="https://buttondown.com/nycofftech/archive/nyc-off-tech-november/" TargetMode="External"/><Relationship Id="rId30" Type="http://schemas.openxmlformats.org/officeDocument/2006/relationships/hyperlink" Target="https://buttondown.com/nycofftech/archive/nyc-off-tech-november/" TargetMode="External"/><Relationship Id="rId31" Type="http://schemas.openxmlformats.org/officeDocument/2006/relationships/hyperlink" Target="https://buttondown.com/nycofftech/archive/nyc-off-tech-november/" TargetMode="External"/><Relationship Id="rId32" Type="http://schemas.openxmlformats.org/officeDocument/2006/relationships/hyperlink" Target="https://buttondown.com/nycofftech/archive/nyc-off-tech-november/" TargetMode="External"/><Relationship Id="rId33" Type="http://schemas.openxmlformats.org/officeDocument/2006/relationships/hyperlink" Target="https://buttondown.com/nycofftech/archive/nyc-off-tech-november/" TargetMode="External"/><Relationship Id="rId34" Type="http://schemas.openxmlformats.org/officeDocument/2006/relationships/hyperlink" Target="https://buttondown.com/nycofftech/archive/nyc-off-tech-november/" TargetMode="External"/><Relationship Id="rId35" Type="http://schemas.openxmlformats.org/officeDocument/2006/relationships/hyperlink" Target="https://buttondown.com/nycofftech/archive/nyc-off-tech-november/" TargetMode="External"/><Relationship Id="rId36" Type="http://schemas.openxmlformats.org/officeDocument/2006/relationships/hyperlink" Target="https://buttondown.com/nycofftech/archive/nyc-off-tech-november/" TargetMode="External"/><Relationship Id="rId37" Type="http://schemas.openxmlformats.org/officeDocument/2006/relationships/hyperlink" Target="https://buttondown.com/nycofftech/archive/nyc-off-tech-november/" TargetMode="External"/><Relationship Id="rId38" Type="http://schemas.openxmlformats.org/officeDocument/2006/relationships/hyperlink" Target="https://buttondown.com/nycofftech/archive/nyc-off-tech-november/" TargetMode="External"/><Relationship Id="rId39" Type="http://schemas.openxmlformats.org/officeDocument/2006/relationships/hyperlink" Target="https://buttondown.com/nycofftech/archive/nyc-off-tech-november/" TargetMode="External"/><Relationship Id="rId40" Type="http://schemas.openxmlformats.org/officeDocument/2006/relationships/hyperlink" Target="https://buttondown.com/nycofftech/archive/nyc-off-tech-mid-november-updates/" TargetMode="External"/><Relationship Id="rId41" Type="http://schemas.openxmlformats.org/officeDocument/2006/relationships/hyperlink" Target="https://buttondown.com/nycofftech/archive/nyc-off-tech-mid-november-updates/" TargetMode="External"/><Relationship Id="rId42" Type="http://schemas.openxmlformats.org/officeDocument/2006/relationships/hyperlink" Target="https://buttondown.com/nycofftech/archive/nyc-off-tech-mid-november-updates/" TargetMode="External"/><Relationship Id="rId43" Type="http://schemas.openxmlformats.org/officeDocument/2006/relationships/hyperlink" Target="https://buttondown.com/nycofftech/archive/nyc-off-tech-mid-november-updates/" TargetMode="External"/><Relationship Id="rId44" Type="http://schemas.openxmlformats.org/officeDocument/2006/relationships/hyperlink" Target="https://buttondown.com/nycofftech/archive/nyc-off-tech-mid-november-updates/" TargetMode="External"/><Relationship Id="rId45" Type="http://schemas.openxmlformats.org/officeDocument/2006/relationships/hyperlink" Target="https://buttondown.com/nycofftech/archive/nyc-off-tech-mid-november-updates/" TargetMode="External"/><Relationship Id="rId46" Type="http://schemas.openxmlformats.org/officeDocument/2006/relationships/hyperlink" Target="https://buttondown.com/nycofftech/archive/nyc-off-tech-mid-november-updates/" TargetMode="External"/><Relationship Id="rId47" Type="http://schemas.openxmlformats.org/officeDocument/2006/relationships/hyperlink" Target="https://buttondown.com/nycofftech/archive/nyc-off-tech-mid-november-updates/" TargetMode="External"/><Relationship Id="rId48" Type="http://schemas.openxmlformats.org/officeDocument/2006/relationships/hyperlink" Target="https://buttondown.com/nycofftech/archive/nyc-off-tech-mid-november-updates/" TargetMode="External"/><Relationship Id="rId49" Type="http://schemas.openxmlformats.org/officeDocument/2006/relationships/hyperlink" Target="https://buttondown.com/nycofftech/archive/nyc-off-tech-mid-november-updates/" TargetMode="External"/><Relationship Id="rId50" Type="http://schemas.openxmlformats.org/officeDocument/2006/relationships/hyperlink" Target="https://buttondown.com/nycofftech/archive/nyc-off-tech-mid-november-updates/" TargetMode="External"/><Relationship Id="rId51" Type="http://schemas.openxmlformats.org/officeDocument/2006/relationships/hyperlink" Target="https://buttondown.com/nycofftech/archive/nyc-off-tech-mid-november-updates/" TargetMode="External"/><Relationship Id="rId52" Type="http://schemas.openxmlformats.org/officeDocument/2006/relationships/hyperlink" Target="https://buttondown.com/nycofftech/archive/nyc-off-tech-december/" TargetMode="External"/><Relationship Id="rId53" Type="http://schemas.openxmlformats.org/officeDocument/2006/relationships/hyperlink" Target="https://buttondown.com/nycofftech/archive/nyc-off-tech-december/" TargetMode="External"/><Relationship Id="rId54" Type="http://schemas.openxmlformats.org/officeDocument/2006/relationships/hyperlink" Target="https://buttondown.com/nycofftech/archive/nyc-off-tech-december/" TargetMode="External"/><Relationship Id="rId55" Type="http://schemas.openxmlformats.org/officeDocument/2006/relationships/hyperlink" Target="https://buttondown.com/nycofftech/archive/nyc-off-tech-december/" TargetMode="External"/><Relationship Id="rId56" Type="http://schemas.openxmlformats.org/officeDocument/2006/relationships/hyperlink" Target="https://buttondown.com/nycofftech/archive/nyc-off-tech-december/" TargetMode="External"/><Relationship Id="rId57" Type="http://schemas.openxmlformats.org/officeDocument/2006/relationships/hyperlink" Target="https://buttondown.com/nycofftech/archive/nyc-off-tech-december/" TargetMode="External"/><Relationship Id="rId58" Type="http://schemas.openxmlformats.org/officeDocument/2006/relationships/hyperlink" Target="https://buttondown.com/nycofftech/archive/nyc-off-tech-december/" TargetMode="External"/><Relationship Id="rId59" Type="http://schemas.openxmlformats.org/officeDocument/2006/relationships/hyperlink" Target="https://buttondown.com/nycofftech/archive/nyc-off-tech-december/" TargetMode="External"/><Relationship Id="rId60" Type="http://schemas.openxmlformats.org/officeDocument/2006/relationships/hyperlink" Target="https://buttondown.com/nycofftech/archive/nyc-off-tech-december/" TargetMode="External"/><Relationship Id="rId61" Type="http://schemas.openxmlformats.org/officeDocument/2006/relationships/hyperlink" Target="https://buttondown.com/nycofftech/archive/nyc-off-tech-december/" TargetMode="External"/><Relationship Id="rId62" Type="http://schemas.openxmlformats.org/officeDocument/2006/relationships/hyperlink" Target="https://buttondown.com/nycofftech/archive/nyc-off-tech-december/" TargetMode="External"/><Relationship Id="rId63" Type="http://schemas.openxmlformats.org/officeDocument/2006/relationships/hyperlink" Target="https://buttondown.com/nycofftech/archive/nyc-off-tech-december/" TargetMode="External"/><Relationship Id="rId64" Type="http://schemas.openxmlformats.org/officeDocument/2006/relationships/hyperlink" Target="https://buttondown.com/nycofftech/archive/nyc-off-tech-december/" TargetMode="External"/><Relationship Id="rId65" Type="http://schemas.openxmlformats.org/officeDocument/2006/relationships/hyperlink" Target="https://buttondown.com/nycofftech/archive/nyc-off-tech-december/" TargetMode="External"/><Relationship Id="rId66" Type="http://schemas.openxmlformats.org/officeDocument/2006/relationships/hyperlink" Target="https://buttondown.com/nycofftech/archive/nyc-off-tech-december/" TargetMode="External"/><Relationship Id="rId67" Type="http://schemas.openxmlformats.org/officeDocument/2006/relationships/hyperlink" Target="https://buttondown.com/nycofftech/archive/nyc-off-tech-december/" TargetMode="External"/><Relationship Id="rId68" Type="http://schemas.openxmlformats.org/officeDocument/2006/relationships/hyperlink" Target="https://buttondown.com/nycofftech/archive/nyc-off-tech-december/" TargetMode="External"/><Relationship Id="rId69" Type="http://schemas.openxmlformats.org/officeDocument/2006/relationships/hyperlink" Target="https://buttondown.com/nycofftech/archive/nyc-off-tech-december/" TargetMode="External"/><Relationship Id="rId70" Type="http://schemas.openxmlformats.org/officeDocument/2006/relationships/hyperlink" Target="https://buttondown.com/nycofftech/archive/nyc-off-tech-december/" TargetMode="External"/><Relationship Id="rId71" Type="http://schemas.openxmlformats.org/officeDocument/2006/relationships/hyperlink" Target="https://buttondown.com/nycofftech/archive/nyc-off-tech-december/" TargetMode="External"/><Relationship Id="rId72" Type="http://schemas.openxmlformats.org/officeDocument/2006/relationships/hyperlink" Target="https://buttondown.com/nycofftech/archive/nyc-off-tech-mid-december-updates/" TargetMode="External"/><Relationship Id="rId73" Type="http://schemas.openxmlformats.org/officeDocument/2006/relationships/hyperlink" Target="https://buttondown.com/nycofftech/archive/nyc-off-tech-mid-december-updates/" TargetMode="External"/><Relationship Id="rId74" Type="http://schemas.openxmlformats.org/officeDocument/2006/relationships/hyperlink" Target="https://buttondown.com/nycofftech/archive/nyc-off-tech-mid-december-updates/" TargetMode="External"/><Relationship Id="rId75" Type="http://schemas.openxmlformats.org/officeDocument/2006/relationships/hyperlink" Target="https://buttondown.com/nycofftech/archive/nyc-off-tech-mid-december-updates/" TargetMode="External"/><Relationship Id="rId76" Type="http://schemas.openxmlformats.org/officeDocument/2006/relationships/hyperlink" Target="https://buttondown.com/nycofftech/archive/nyc-off-tech-mid-december-updates/" TargetMode="External"/><Relationship Id="rId77" Type="http://schemas.openxmlformats.org/officeDocument/2006/relationships/hyperlink" Target="https://buttondown.com/nycofftech/archive/nyc-off-tech-mid-december-updates/" TargetMode="External"/><Relationship Id="rId78" Type="http://schemas.openxmlformats.org/officeDocument/2006/relationships/hyperlink" Target="https://buttondown.com/nycofftech/archive/nyc-off-tech-mid-december-updates/" TargetMode="External"/><Relationship Id="rId79" Type="http://schemas.openxmlformats.org/officeDocument/2006/relationships/hyperlink" Target="https://buttondown.com/nycofftech/archive/nyc-off-tech-mid-december-updates/" TargetMode="External"/><Relationship Id="rId80" Type="http://schemas.openxmlformats.org/officeDocument/2006/relationships/hyperlink" Target="https://buttondown.com/nycofftech/archive/nyc-off-tech-mid-december-updates/" TargetMode="External"/><Relationship Id="rId81" Type="http://schemas.openxmlformats.org/officeDocument/2006/relationships/hyperlink" Target="https://buttondown.com/nycofftech/archive/nyc-off-tech-january/" TargetMode="External"/><Relationship Id="rId82" Type="http://schemas.openxmlformats.org/officeDocument/2006/relationships/hyperlink" Target="https://buttondown.com/nycofftech/archive/nyc-off-tech-january/" TargetMode="External"/><Relationship Id="rId83" Type="http://schemas.openxmlformats.org/officeDocument/2006/relationships/hyperlink" Target="https://buttondown.com/nycofftech/archive/nyc-off-tech-january/" TargetMode="External"/><Relationship Id="rId84" Type="http://schemas.openxmlformats.org/officeDocument/2006/relationships/hyperlink" Target="https://buttondown.com/nycofftech/archive/nyc-off-tech-january/" TargetMode="External"/><Relationship Id="rId85" Type="http://schemas.openxmlformats.org/officeDocument/2006/relationships/hyperlink" Target="https://buttondown.com/nycofftech/archive/nyc-off-tech-january/" TargetMode="External"/><Relationship Id="rId86" Type="http://schemas.openxmlformats.org/officeDocument/2006/relationships/hyperlink" Target="https://buttondown.com/nycofftech/archive/nyc-off-tech-january/" TargetMode="External"/><Relationship Id="rId87" Type="http://schemas.openxmlformats.org/officeDocument/2006/relationships/hyperlink" Target="https://buttondown.com/nycofftech/archive/nyc-off-tech-january/" TargetMode="External"/><Relationship Id="rId88" Type="http://schemas.openxmlformats.org/officeDocument/2006/relationships/hyperlink" Target="https://buttondown.com/nycofftech/archive/nyc-off-tech-january/" TargetMode="External"/><Relationship Id="rId89" Type="http://schemas.openxmlformats.org/officeDocument/2006/relationships/hyperlink" Target="https://buttondown.com/nycofftech/archive/nyc-off-tech-january/" TargetMode="External"/><Relationship Id="rId90" Type="http://schemas.openxmlformats.org/officeDocument/2006/relationships/hyperlink" Target="https://buttondown.com/nycofftech/archive/nyc-off-tech-january/" TargetMode="External"/><Relationship Id="rId91" Type="http://schemas.openxmlformats.org/officeDocument/2006/relationships/hyperlink" Target="https://buttondown.com/nycofftech/archive/nyc-off-tech-january/" TargetMode="External"/><Relationship Id="rId92" Type="http://schemas.openxmlformats.org/officeDocument/2006/relationships/hyperlink" Target="https://buttondown.com/nycofftech/archive/nyc-off-tech-january/" TargetMode="External"/><Relationship Id="rId93" Type="http://schemas.openxmlformats.org/officeDocument/2006/relationships/hyperlink" Target="https://buttondown.com/nycofftech/archive/nyc-off-tech-january/" TargetMode="External"/><Relationship Id="rId94" Type="http://schemas.openxmlformats.org/officeDocument/2006/relationships/hyperlink" Target="https://buttondown.com/nycofftech/archive/nyc-off-tech-january/" TargetMode="External"/><Relationship Id="rId95" Type="http://schemas.openxmlformats.org/officeDocument/2006/relationships/hyperlink" Target="https://buttondown.com/nycofftech/archive/nyc-off-tech-january/" TargetMode="External"/><Relationship Id="rId96" Type="http://schemas.openxmlformats.org/officeDocument/2006/relationships/hyperlink" Target="https://buttondown.com/nycofftech/archive/nyc-off-tech-january/" TargetMode="External"/><Relationship Id="rId97" Type="http://schemas.openxmlformats.org/officeDocument/2006/relationships/hyperlink" Target="https://buttondown.com/nycofftech/archive/nyc-off-tech-january/" TargetMode="External"/><Relationship Id="rId98" Type="http://schemas.openxmlformats.org/officeDocument/2006/relationships/hyperlink" Target="https://buttondown.com/nycofftech/archive/nyc-off-tech-january/" TargetMode="External"/><Relationship Id="rId99" Type="http://schemas.openxmlformats.org/officeDocument/2006/relationships/hyperlink" Target="https://buttondown.com/nycofftech/archive/nyc-off-tech-january/" TargetMode="External"/><Relationship Id="rId100" Type="http://schemas.openxmlformats.org/officeDocument/2006/relationships/hyperlink" Target="https://buttondown.com/nycofftech/archive/nyc-off-tech-mid-january-updates/" TargetMode="External"/><Relationship Id="rId101" Type="http://schemas.openxmlformats.org/officeDocument/2006/relationships/hyperlink" Target="https://buttondown.com/nycofftech/archive/nyc-off-tech-mid-january-updates/" TargetMode="External"/><Relationship Id="rId102" Type="http://schemas.openxmlformats.org/officeDocument/2006/relationships/hyperlink" Target="https://buttondown.com/nycofftech/archive/nyc-off-tech-mid-january-updates/" TargetMode="External"/><Relationship Id="rId103" Type="http://schemas.openxmlformats.org/officeDocument/2006/relationships/hyperlink" Target="https://buttondown.com/nycofftech/archive/nyc-off-tech-mid-january-updates/" TargetMode="External"/><Relationship Id="rId104" Type="http://schemas.openxmlformats.org/officeDocument/2006/relationships/hyperlink" Target="https://buttondown.com/nycofftech/archive/nyc-off-tech-mid-january-updates/" TargetMode="External"/><Relationship Id="rId105" Type="http://schemas.openxmlformats.org/officeDocument/2006/relationships/hyperlink" Target="https://buttondown.com/nycofftech/archive/nyc-off-tech-mid-january-updates/" TargetMode="External"/><Relationship Id="rId106" Type="http://schemas.openxmlformats.org/officeDocument/2006/relationships/hyperlink" Target="https://buttondown.com/nycofftech/archive/nyc-off-tech-mid-january-updates/" TargetMode="External"/><Relationship Id="rId107" Type="http://schemas.openxmlformats.org/officeDocument/2006/relationships/hyperlink" Target="https://buttondown.com/nycofftech/archive/nyc-off-tech-mid-january-updates/" TargetMode="External"/><Relationship Id="rId108" Type="http://schemas.openxmlformats.org/officeDocument/2006/relationships/hyperlink" Target="https://buttondown.com/nycofftech/archive/nyc-off-tech-mid-january-updates/" TargetMode="External"/><Relationship Id="rId109" Type="http://schemas.openxmlformats.org/officeDocument/2006/relationships/hyperlink" Target="https://buttondown.com/nycofftech/archive/nyc-off-tech-mid-january-updates/" TargetMode="External"/><Relationship Id="rId110" Type="http://schemas.openxmlformats.org/officeDocument/2006/relationships/hyperlink" Target="https://buttondown.com/nycofftech/archive/nyc-off-tech-mid-january-updates/" TargetMode="External"/><Relationship Id="rId111" Type="http://schemas.openxmlformats.org/officeDocument/2006/relationships/hyperlink" Target="https://buttondown.com/nycofftech/archive/nyc-off-tech-mid-january-updates/" TargetMode="External"/><Relationship Id="rId112" Type="http://schemas.openxmlformats.org/officeDocument/2006/relationships/hyperlink" Target="https://buttondown.com/nycofftech/archive/nyc-off-tech-mid-january-updates/" TargetMode="External"/><Relationship Id="rId113" Type="http://schemas.openxmlformats.org/officeDocument/2006/relationships/hyperlink" Target="https://buttondown.com/nycofftech/archive/nyc-off-tech-mid-january-updates/" TargetMode="External"/><Relationship Id="rId114" Type="http://schemas.openxmlformats.org/officeDocument/2006/relationships/hyperlink" Target="https://buttondown.com/nycofftech/archive/nyc-off-tech-mid-january-updates/" TargetMode="External"/><Relationship Id="rId115" Type="http://schemas.openxmlformats.org/officeDocument/2006/relationships/hyperlink" Target="https://buttondown.com/nycofftech/archive/nyc-off-tech-mid-january-updates/" TargetMode="External"/><Relationship Id="rId116" Type="http://schemas.openxmlformats.org/officeDocument/2006/relationships/hyperlink" Target="https://buttondown.com/nycofftech/archive/nyc-off-tech-mid-january-updates/" TargetMode="External"/><Relationship Id="rId117" Type="http://schemas.openxmlformats.org/officeDocument/2006/relationships/hyperlink" Target="https://buttondown.com/nycofftech/archive/nyc-off-tech-february/" TargetMode="External"/><Relationship Id="rId118" Type="http://schemas.openxmlformats.org/officeDocument/2006/relationships/hyperlink" Target="https://buttondown.com/nycofftech/archive/nyc-off-tech-february/" TargetMode="External"/><Relationship Id="rId119" Type="http://schemas.openxmlformats.org/officeDocument/2006/relationships/hyperlink" Target="https://buttondown.com/nycofftech/archive/nyc-off-tech-february/" TargetMode="External"/><Relationship Id="rId120" Type="http://schemas.openxmlformats.org/officeDocument/2006/relationships/hyperlink" Target="https://buttondown.com/nycofftech/archive/nyc-off-tech-february/" TargetMode="External"/><Relationship Id="rId121" Type="http://schemas.openxmlformats.org/officeDocument/2006/relationships/hyperlink" Target="https://buttondown.com/nycofftech/archive/nyc-off-tech-february/" TargetMode="External"/><Relationship Id="rId122" Type="http://schemas.openxmlformats.org/officeDocument/2006/relationships/hyperlink" Target="https://buttondown.com/nycofftech/archive/nyc-off-tech-february/" TargetMode="External"/><Relationship Id="rId123" Type="http://schemas.openxmlformats.org/officeDocument/2006/relationships/hyperlink" Target="https://buttondown.com/nycofftech/archive/nyc-off-tech-february/" TargetMode="External"/><Relationship Id="rId124" Type="http://schemas.openxmlformats.org/officeDocument/2006/relationships/hyperlink" Target="https://buttondown.com/nycofftech/archive/nyc-off-tech-february/" TargetMode="External"/><Relationship Id="rId125" Type="http://schemas.openxmlformats.org/officeDocument/2006/relationships/hyperlink" Target="https://buttondown.com/nycofftech/archive/nyc-off-tech-february/" TargetMode="External"/><Relationship Id="rId126" Type="http://schemas.openxmlformats.org/officeDocument/2006/relationships/hyperlink" Target="https://buttondown.com/nycofftech/archive/nyc-off-tech-february/" TargetMode="External"/><Relationship Id="rId127" Type="http://schemas.openxmlformats.org/officeDocument/2006/relationships/hyperlink" Target="https://buttondown.com/nycofftech/archive/nyc-off-tech-february/" TargetMode="External"/><Relationship Id="rId128" Type="http://schemas.openxmlformats.org/officeDocument/2006/relationships/hyperlink" Target="https://buttondown.com/nycofftech/archive/nyc-off-tech-february/" TargetMode="External"/><Relationship Id="rId129" Type="http://schemas.openxmlformats.org/officeDocument/2006/relationships/hyperlink" Target="https://buttondown.com/nycofftech/archive/nyc-off-tech-february/" TargetMode="External"/><Relationship Id="rId130" Type="http://schemas.openxmlformats.org/officeDocument/2006/relationships/hyperlink" Target="https://buttondown.com/nycofftech/archive/nyc-off-tech-february/" TargetMode="External"/><Relationship Id="rId131" Type="http://schemas.openxmlformats.org/officeDocument/2006/relationships/hyperlink" Target="https://buttondown.com/nycofftech/archive/nyc-off-tech-february/" TargetMode="External"/><Relationship Id="rId132" Type="http://schemas.openxmlformats.org/officeDocument/2006/relationships/hyperlink" Target="https://buttondown.com/nycofftech/archive/nyc-off-tech-february/" TargetMode="External"/><Relationship Id="rId133" Type="http://schemas.openxmlformats.org/officeDocument/2006/relationships/hyperlink" Target="https://buttondown.com/nycofftech/archive/nyc-off-tech-february/" TargetMode="External"/><Relationship Id="rId134" Type="http://schemas.openxmlformats.org/officeDocument/2006/relationships/hyperlink" Target="https://buttondown.com/nycofftech/archive/nyc-off-tech-february/" TargetMode="External"/><Relationship Id="rId135" Type="http://schemas.openxmlformats.org/officeDocument/2006/relationships/hyperlink" Target="https://buttondown.com/nycofftech/archive/nyc-off-tech-february/" TargetMode="External"/><Relationship Id="rId136" Type="http://schemas.openxmlformats.org/officeDocument/2006/relationships/hyperlink" Target="https://buttondown.com/nycofftech/archive/nyc-off-tech-february/" TargetMode="External"/><Relationship Id="rId137" Type="http://schemas.openxmlformats.org/officeDocument/2006/relationships/hyperlink" Target="https://buttondown.com/nycofftech/archive/nyc-off-tech-mid-february-updates/" TargetMode="External"/><Relationship Id="rId138" Type="http://schemas.openxmlformats.org/officeDocument/2006/relationships/hyperlink" Target="https://buttondown.com/nycofftech/archive/nyc-off-tech-mid-february-updates/" TargetMode="External"/><Relationship Id="rId139" Type="http://schemas.openxmlformats.org/officeDocument/2006/relationships/hyperlink" Target="https://buttondown.com/nycofftech/archive/nyc-off-tech-mid-february-updates/" TargetMode="External"/><Relationship Id="rId140" Type="http://schemas.openxmlformats.org/officeDocument/2006/relationships/hyperlink" Target="https://buttondown.com/nycofftech/archive/nyc-off-tech-mid-february-updates/" TargetMode="External"/><Relationship Id="rId141" Type="http://schemas.openxmlformats.org/officeDocument/2006/relationships/hyperlink" Target="https://buttondown.com/nycofftech/archive/nyc-off-tech-mid-february-updates/" TargetMode="External"/><Relationship Id="rId142" Type="http://schemas.openxmlformats.org/officeDocument/2006/relationships/hyperlink" Target="https://buttondown.com/nycofftech/archive/nyc-off-tech-mid-february-updates/" TargetMode="External"/><Relationship Id="rId143" Type="http://schemas.openxmlformats.org/officeDocument/2006/relationships/hyperlink" Target="https://buttondown.com/nycofftech/archive/nyc-off-tech-mid-february-updates/" TargetMode="External"/><Relationship Id="rId144" Type="http://schemas.openxmlformats.org/officeDocument/2006/relationships/hyperlink" Target="https://buttondown.com/nycofftech/archive/nyc-off-tech-mid-february-updates/" TargetMode="External"/><Relationship Id="rId145" Type="http://schemas.openxmlformats.org/officeDocument/2006/relationships/hyperlink" Target="https://buttondown.com/nycofftech/archive/nyc-off-tech-mid-february-updates/" TargetMode="External"/><Relationship Id="rId146" Type="http://schemas.openxmlformats.org/officeDocument/2006/relationships/hyperlink" Target="https://buttondown.com/nycofftech/archive/nyc-off-tech-mid-february-updates/" TargetMode="External"/><Relationship Id="rId147" Type="http://schemas.openxmlformats.org/officeDocument/2006/relationships/hyperlink" Target="https://buttondown.com/nycofftech/archive/nyc-off-tech-mid-february-updates/" TargetMode="External"/><Relationship Id="rId148" Type="http://schemas.openxmlformats.org/officeDocument/2006/relationships/hyperlink" Target="https://buttondown.com/nycofftech/archive/nyc-off-tech-mid-february-updates/" TargetMode="External"/><Relationship Id="rId149" Type="http://schemas.openxmlformats.org/officeDocument/2006/relationships/hyperlink" Target="https://buttondown.com/nycofftech/archive/nyc-off-tech-mid-february-updates/" TargetMode="External"/><Relationship Id="rId150" Type="http://schemas.openxmlformats.org/officeDocument/2006/relationships/hyperlink" Target="https://buttondown.com/nycofftech/archive/nyc-off-tech-mid-february-updates/" TargetMode="External"/><Relationship Id="rId151" Type="http://schemas.openxmlformats.org/officeDocument/2006/relationships/hyperlink" Target="https://buttondown.com/nycofftech/archive/nyc-off-tech-mid-february-updates/" TargetMode="External"/><Relationship Id="rId152" Type="http://schemas.openxmlformats.org/officeDocument/2006/relationships/hyperlink" Target="https://buttondown.com/nycofftech/archive/nyc-off-tech-march/" TargetMode="External"/><Relationship Id="rId153" Type="http://schemas.openxmlformats.org/officeDocument/2006/relationships/hyperlink" Target="https://buttondown.com/nycofftech/archive/nyc-off-tech-march/" TargetMode="External"/><Relationship Id="rId154" Type="http://schemas.openxmlformats.org/officeDocument/2006/relationships/hyperlink" Target="https://buttondown.com/nycofftech/archive/nyc-off-tech-march/" TargetMode="External"/><Relationship Id="rId155" Type="http://schemas.openxmlformats.org/officeDocument/2006/relationships/hyperlink" Target="https://buttondown.com/nycofftech/archive/nyc-off-tech-march/" TargetMode="External"/><Relationship Id="rId156" Type="http://schemas.openxmlformats.org/officeDocument/2006/relationships/hyperlink" Target="https://buttondown.com/nycofftech/archive/nyc-off-tech-march/" TargetMode="External"/><Relationship Id="rId157" Type="http://schemas.openxmlformats.org/officeDocument/2006/relationships/hyperlink" Target="https://buttondown.com/nycofftech/archive/nyc-off-tech-march/" TargetMode="External"/><Relationship Id="rId158" Type="http://schemas.openxmlformats.org/officeDocument/2006/relationships/hyperlink" Target="https://buttondown.com/nycofftech/archive/nyc-off-tech-march/" TargetMode="External"/><Relationship Id="rId159" Type="http://schemas.openxmlformats.org/officeDocument/2006/relationships/hyperlink" Target="https://buttondown.com/nycofftech/archive/nyc-off-tech-march/" TargetMode="External"/><Relationship Id="rId160" Type="http://schemas.openxmlformats.org/officeDocument/2006/relationships/hyperlink" Target="https://buttondown.com/nycofftech/archive/nyc-off-tech-march/" TargetMode="External"/><Relationship Id="rId161" Type="http://schemas.openxmlformats.org/officeDocument/2006/relationships/hyperlink" Target="https://buttondown.com/nycofftech/archive/nyc-off-tech-march/" TargetMode="External"/><Relationship Id="rId162" Type="http://schemas.openxmlformats.org/officeDocument/2006/relationships/hyperlink" Target="https://buttondown.com/nycofftech/archive/nyc-off-tech-march/" TargetMode="External"/><Relationship Id="rId163" Type="http://schemas.openxmlformats.org/officeDocument/2006/relationships/hyperlink" Target="https://buttondown.com/nycofftech/archive/nyc-off-tech-march/" TargetMode="External"/><Relationship Id="rId164" Type="http://schemas.openxmlformats.org/officeDocument/2006/relationships/hyperlink" Target="https://buttondown.com/nycofftech/archive/nyc-off-tech-march/" TargetMode="External"/><Relationship Id="rId165" Type="http://schemas.openxmlformats.org/officeDocument/2006/relationships/hyperlink" Target="https://buttondown.com/nycofftech/archive/nyc-off-tech-march/" TargetMode="External"/><Relationship Id="rId166" Type="http://schemas.openxmlformats.org/officeDocument/2006/relationships/hyperlink" Target="https://buttondown.com/nycofftech/archive/nyc-off-tech-march/" TargetMode="External"/><Relationship Id="rId167" Type="http://schemas.openxmlformats.org/officeDocument/2006/relationships/hyperlink" Target="https://buttondown.com/nycofftech/archive/nyc-off-tech-march/" TargetMode="External"/><Relationship Id="rId168" Type="http://schemas.openxmlformats.org/officeDocument/2006/relationships/hyperlink" Target="https://buttondown.com/nycofftech/archive/nyc-off-tech-march/" TargetMode="External"/><Relationship Id="rId169" Type="http://schemas.openxmlformats.org/officeDocument/2006/relationships/hyperlink" Target="https://buttondown.com/nycofftech/archive/nyc-off-tech-march/" TargetMode="External"/><Relationship Id="rId170" Type="http://schemas.openxmlformats.org/officeDocument/2006/relationships/hyperlink" Target="https://buttondown.com/nycofftech/archive/nyc-off-tech-march/" TargetMode="External"/><Relationship Id="rId171" Type="http://schemas.openxmlformats.org/officeDocument/2006/relationships/hyperlink" Target="https://buttondown.com/nycofftech/archive/nyc-off-tech-march/" TargetMode="External"/><Relationship Id="rId172" Type="http://schemas.openxmlformats.org/officeDocument/2006/relationships/hyperlink" Target="https://buttondown.com/nycofftech/archive/nyc-off-tech-march/" TargetMode="External"/><Relationship Id="rId173" Type="http://schemas.openxmlformats.org/officeDocument/2006/relationships/hyperlink" Target="https://buttondown.com/nycofftech/archive/nyc-off-tech-march/" TargetMode="External"/><Relationship Id="rId174" Type="http://schemas.openxmlformats.org/officeDocument/2006/relationships/hyperlink" Target="https://buttondown.com/nycofftech/archive/nyc-off-tech-march/" TargetMode="External"/><Relationship Id="rId175" Type="http://schemas.openxmlformats.org/officeDocument/2006/relationships/hyperlink" Target="https://buttondown.com/nycofftech/archive/nyc-off-tech-march/" TargetMode="External"/><Relationship Id="rId176" Type="http://schemas.openxmlformats.org/officeDocument/2006/relationships/hyperlink" Target="https://buttondown.com/nycofftech/archive/nyc-off-tech-march/" TargetMode="External"/><Relationship Id="rId177" Type="http://schemas.openxmlformats.org/officeDocument/2006/relationships/hyperlink" Target="https://buttondown.com/nycofftech/archive/nyc-off-tech-march/" TargetMode="External"/><Relationship Id="rId178" Type="http://schemas.openxmlformats.org/officeDocument/2006/relationships/hyperlink" Target="https://buttondown.com/nycofftech/archive/nyc-off-tech-march/" TargetMode="External"/><Relationship Id="rId179" Type="http://schemas.openxmlformats.org/officeDocument/2006/relationships/hyperlink" Target="https://buttondown.com/nycofftech/archive/nyc-off-tech-march/" TargetMode="External"/><Relationship Id="rId180" Type="http://schemas.openxmlformats.org/officeDocument/2006/relationships/hyperlink" Target="https://buttondown.com/nycofftech/archive/nyc-off-tech-march/" TargetMode="External"/><Relationship Id="rId181" Type="http://schemas.openxmlformats.org/officeDocument/2006/relationships/hyperlink" Target="https://buttondown.com/nycofftech/archive/nyc-off-tech-mid-march-updates/" TargetMode="External"/><Relationship Id="rId182" Type="http://schemas.openxmlformats.org/officeDocument/2006/relationships/hyperlink" Target="https://buttondown.com/nycofftech/archive/nyc-off-tech-mid-march-updates/" TargetMode="External"/><Relationship Id="rId183" Type="http://schemas.openxmlformats.org/officeDocument/2006/relationships/hyperlink" Target="https://buttondown.com/nycofftech/archive/nyc-off-tech-mid-march-updates/" TargetMode="External"/><Relationship Id="rId184" Type="http://schemas.openxmlformats.org/officeDocument/2006/relationships/hyperlink" Target="https://buttondown.com/nycofftech/archive/nyc-off-tech-mid-march-updates/" TargetMode="External"/><Relationship Id="rId185" Type="http://schemas.openxmlformats.org/officeDocument/2006/relationships/hyperlink" Target="https://buttondown.com/nycofftech/archive/nyc-off-tech-mid-march-updates/" TargetMode="External"/><Relationship Id="rId186" Type="http://schemas.openxmlformats.org/officeDocument/2006/relationships/hyperlink" Target="https://buttondown.com/nycofftech/archive/nyc-off-tech-mid-march-updates/" TargetMode="External"/><Relationship Id="rId187" Type="http://schemas.openxmlformats.org/officeDocument/2006/relationships/hyperlink" Target="https://buttondown.com/nycofftech/archive/nyc-off-tech-mid-march-updates/" TargetMode="External"/><Relationship Id="rId188" Type="http://schemas.openxmlformats.org/officeDocument/2006/relationships/hyperlink" Target="https://buttondown.com/nycofftech/archive/nyc-off-tech-mid-march-updates/" TargetMode="External"/><Relationship Id="rId189" Type="http://schemas.openxmlformats.org/officeDocument/2006/relationships/hyperlink" Target="https://buttondown.com/nycofftech/archive/nyc-off-tech-mid-march-updates/" TargetMode="External"/><Relationship Id="rId190" Type="http://schemas.openxmlformats.org/officeDocument/2006/relationships/hyperlink" Target="https://buttondown.com/nycofftech/archive/nyc-off-tech-mid-march-updates/" TargetMode="External"/><Relationship Id="rId191" Type="http://schemas.openxmlformats.org/officeDocument/2006/relationships/hyperlink" Target="https://buttondown.com/nycofftech/archive/nyc-off-tech-mid-march-updates/" TargetMode="External"/><Relationship Id="rId192" Type="http://schemas.openxmlformats.org/officeDocument/2006/relationships/hyperlink" Target="https://buttondown.com/nycofftech/archive/nyc-off-tech-mid-march-updates/" TargetMode="External"/><Relationship Id="rId193" Type="http://schemas.openxmlformats.org/officeDocument/2006/relationships/hyperlink" Target="https://buttondown.com/nycofftech/archive/nyc-off-tech-mid-march-updates/" TargetMode="External"/><Relationship Id="rId194" Type="http://schemas.openxmlformats.org/officeDocument/2006/relationships/hyperlink" Target="https://buttondown.com/nycofftech/archive/nyc-off-tech-mid-march-updates/" TargetMode="External"/><Relationship Id="rId195" Type="http://schemas.openxmlformats.org/officeDocument/2006/relationships/hyperlink" Target="https://buttondown.com/nycofftech/archive/nyc-off-tech-mid-march-updates/" TargetMode="External"/><Relationship Id="rId196" Type="http://schemas.openxmlformats.org/officeDocument/2006/relationships/hyperlink" Target="https://buttondown.com/nycofftech/archive/nyc-off-tech-mid-march-updates/" TargetMode="External"/><Relationship Id="rId197" Type="http://schemas.openxmlformats.org/officeDocument/2006/relationships/hyperlink" Target="https://buttondown.com/nycofftech/archive/nyc-off-tech-mid-march-updates/" TargetMode="External"/><Relationship Id="rId198" Type="http://schemas.openxmlformats.org/officeDocument/2006/relationships/hyperlink" Target="https://buttondown.com/nycofftech/archive/nyc-off-tech-mid-march-updates/" TargetMode="External"/><Relationship Id="rId199" Type="http://schemas.openxmlformats.org/officeDocument/2006/relationships/hyperlink" Target="https://buttondown.com/nycofftech/archive/nyc-off-tech-april/" TargetMode="External"/><Relationship Id="rId200" Type="http://schemas.openxmlformats.org/officeDocument/2006/relationships/hyperlink" Target="https://buttondown.com/nycofftech/archive/nyc-off-tech-april/" TargetMode="External"/><Relationship Id="rId201" Type="http://schemas.openxmlformats.org/officeDocument/2006/relationships/hyperlink" Target="https://buttondown.com/nycofftech/archive/nyc-off-tech-april/" TargetMode="External"/><Relationship Id="rId202" Type="http://schemas.openxmlformats.org/officeDocument/2006/relationships/hyperlink" Target="https://buttondown.com/nycofftech/archive/nyc-off-tech-april/" TargetMode="External"/><Relationship Id="rId203" Type="http://schemas.openxmlformats.org/officeDocument/2006/relationships/hyperlink" Target="https://buttondown.com/nycofftech/archive/nyc-off-tech-april/" TargetMode="External"/><Relationship Id="rId204" Type="http://schemas.openxmlformats.org/officeDocument/2006/relationships/hyperlink" Target="https://buttondown.com/nycofftech/archive/nyc-off-tech-april/" TargetMode="External"/><Relationship Id="rId205" Type="http://schemas.openxmlformats.org/officeDocument/2006/relationships/hyperlink" Target="https://buttondown.com/nycofftech/archive/nyc-off-tech-april/" TargetMode="External"/><Relationship Id="rId206" Type="http://schemas.openxmlformats.org/officeDocument/2006/relationships/hyperlink" Target="https://buttondown.com/nycofftech/archive/nyc-off-tech-april/" TargetMode="External"/><Relationship Id="rId207" Type="http://schemas.openxmlformats.org/officeDocument/2006/relationships/hyperlink" Target="https://buttondown.com/nycofftech/archive/nyc-off-tech-april/" TargetMode="External"/><Relationship Id="rId208" Type="http://schemas.openxmlformats.org/officeDocument/2006/relationships/hyperlink" Target="https://buttondown.com/nycofftech/archive/nyc-off-tech-april/" TargetMode="External"/><Relationship Id="rId209" Type="http://schemas.openxmlformats.org/officeDocument/2006/relationships/hyperlink" Target="https://buttondown.com/nycofftech/archive/nyc-off-tech-april/" TargetMode="External"/><Relationship Id="rId210" Type="http://schemas.openxmlformats.org/officeDocument/2006/relationships/hyperlink" Target="https://buttondown.com/nycofftech/archive/nyc-off-tech-april/" TargetMode="External"/><Relationship Id="rId211" Type="http://schemas.openxmlformats.org/officeDocument/2006/relationships/hyperlink" Target="https://buttondown.com/nycofftech/archive/nyc-off-tech-april/" TargetMode="External"/><Relationship Id="rId212" Type="http://schemas.openxmlformats.org/officeDocument/2006/relationships/hyperlink" Target="https://buttondown.com/nycofftech/archive/nyc-off-tech-april/" TargetMode="External"/><Relationship Id="rId213" Type="http://schemas.openxmlformats.org/officeDocument/2006/relationships/hyperlink" Target="https://buttondown.com/nycofftech/archive/nyc-off-tech-april/" TargetMode="External"/><Relationship Id="rId214" Type="http://schemas.openxmlformats.org/officeDocument/2006/relationships/hyperlink" Target="https://buttondown.com/nycofftech/archive/nyc-off-tech-april/" TargetMode="External"/><Relationship Id="rId215" Type="http://schemas.openxmlformats.org/officeDocument/2006/relationships/hyperlink" Target="https://buttondown.com/nycofftech/archive/nyc-off-tech-april/" TargetMode="External"/><Relationship Id="rId216" Type="http://schemas.openxmlformats.org/officeDocument/2006/relationships/hyperlink" Target="https://buttondown.com/nycofftech/archive/nyc-off-tech-april/" TargetMode="External"/><Relationship Id="rId217" Type="http://schemas.openxmlformats.org/officeDocument/2006/relationships/hyperlink" Target="https://buttondown.com/nycofftech/archive/nyc-off-tech-april/" TargetMode="External"/><Relationship Id="rId218" Type="http://schemas.openxmlformats.org/officeDocument/2006/relationships/hyperlink" Target="https://buttondown.com/nycofftech/archive/nyc-off-tech-april/" TargetMode="External"/><Relationship Id="rId219" Type="http://schemas.openxmlformats.org/officeDocument/2006/relationships/hyperlink" Target="https://buttondown.com/nycofftech/archive/nyc-off-tech-april/" TargetMode="External"/><Relationship Id="rId220" Type="http://schemas.openxmlformats.org/officeDocument/2006/relationships/hyperlink" Target="https://buttondown.com/nycofftech/archive/nyc-off-tech-april/" TargetMode="External"/><Relationship Id="rId221" Type="http://schemas.openxmlformats.org/officeDocument/2006/relationships/hyperlink" Target="https://buttondown.com/nycofftech/archive/nyc-off-tech-april/" TargetMode="External"/><Relationship Id="rId222" Type="http://schemas.openxmlformats.org/officeDocument/2006/relationships/hyperlink" Target="https://buttondown.com/nycofftech/archive/nyc-off-tech-april/" TargetMode="External"/><Relationship Id="rId223" Type="http://schemas.openxmlformats.org/officeDocument/2006/relationships/hyperlink" Target="https://buttondown.com/nycofftech/archive/nyc-off-tech-april/" TargetMode="External"/><Relationship Id="rId224" Type="http://schemas.openxmlformats.org/officeDocument/2006/relationships/hyperlink" Target="https://buttondown.com/nycofftech/archive/nyc-off-tech-april/" TargetMode="External"/><Relationship Id="rId225" Type="http://schemas.openxmlformats.org/officeDocument/2006/relationships/hyperlink" Target="https://buttondown.com/nycofftech/archive/nyc-off-tech-april/" TargetMode="External"/><Relationship Id="rId226" Type="http://schemas.openxmlformats.org/officeDocument/2006/relationships/hyperlink" Target="https://buttondown.com/nycofftech/archive/nyc-off-tech-april/" TargetMode="External"/><Relationship Id="rId227" Type="http://schemas.openxmlformats.org/officeDocument/2006/relationships/hyperlink" Target="https://buttondown.com/nycofftech/archive/nyc-off-tech-mid-april-updates/" TargetMode="External"/><Relationship Id="rId228" Type="http://schemas.openxmlformats.org/officeDocument/2006/relationships/hyperlink" Target="https://buttondown.com/nycofftech/archive/nyc-off-tech-mid-april-updates/" TargetMode="External"/><Relationship Id="rId229" Type="http://schemas.openxmlformats.org/officeDocument/2006/relationships/hyperlink" Target="https://buttondown.com/nycofftech/archive/nyc-off-tech-mid-april-updates/" TargetMode="External"/><Relationship Id="rId230" Type="http://schemas.openxmlformats.org/officeDocument/2006/relationships/hyperlink" Target="https://buttondown.com/nycofftech/archive/nyc-off-tech-mid-april-updates/" TargetMode="External"/><Relationship Id="rId231" Type="http://schemas.openxmlformats.org/officeDocument/2006/relationships/hyperlink" Target="https://buttondown.com/nycofftech/archive/nyc-off-tech-mid-april-updates/" TargetMode="External"/><Relationship Id="rId232" Type="http://schemas.openxmlformats.org/officeDocument/2006/relationships/hyperlink" Target="https://buttondown.com/nycofftech/archive/nyc-off-tech-mid-april-updates/" TargetMode="External"/><Relationship Id="rId233" Type="http://schemas.openxmlformats.org/officeDocument/2006/relationships/hyperlink" Target="https://buttondown.com/nycofftech/archive/nyc-off-tech-mid-april-updates/" TargetMode="External"/><Relationship Id="rId234" Type="http://schemas.openxmlformats.org/officeDocument/2006/relationships/hyperlink" Target="https://buttondown.com/nycofftech/archive/nyc-off-tech-mid-april-updates/" TargetMode="External"/><Relationship Id="rId235" Type="http://schemas.openxmlformats.org/officeDocument/2006/relationships/hyperlink" Target="https://buttondown.com/nycofftech/archive/nyc-off-tech-mid-april-updates/" TargetMode="External"/><Relationship Id="rId236" Type="http://schemas.openxmlformats.org/officeDocument/2006/relationships/hyperlink" Target="https://buttondown.com/nycofftech/archive/nyc-off-tech-mid-april-updates/" TargetMode="External"/><Relationship Id="rId237" Type="http://schemas.openxmlformats.org/officeDocument/2006/relationships/hyperlink" Target="https://buttondown.com/nycofftech/archive/nyc-off-tech-mid-april-updates/" TargetMode="External"/><Relationship Id="rId238" Type="http://schemas.openxmlformats.org/officeDocument/2006/relationships/hyperlink" Target="https://buttondown.com/nycofftech/archive/nyc-off-tech-mid-april-updates/" TargetMode="External"/><Relationship Id="rId239" Type="http://schemas.openxmlformats.org/officeDocument/2006/relationships/hyperlink" Target="https://buttondown.com/nycofftech/archive/nyc-off-tech-mid-april-updates/" TargetMode="External"/><Relationship Id="rId240" Type="http://schemas.openxmlformats.org/officeDocument/2006/relationships/hyperlink" Target="https://buttondown.com/nycofftech/archive/nyc-off-tech-mid-april-updates/" TargetMode="External"/><Relationship Id="rId241" Type="http://schemas.openxmlformats.org/officeDocument/2006/relationships/hyperlink" Target="https://buttondown.com/nycofftech/archive/nyc-off-tech-mid-april-updates/" TargetMode="External"/><Relationship Id="rId242" Type="http://schemas.openxmlformats.org/officeDocument/2006/relationships/hyperlink" Target="https://buttondown.com/nycofftech/archive/nyc-off-tech-mid-april-updates/" TargetMode="External"/><Relationship Id="rId243" Type="http://schemas.openxmlformats.org/officeDocument/2006/relationships/hyperlink" Target="https://buttondown.com/nycofftech/archive/nyc-off-tech-mid-april-updates/" TargetMode="External"/><Relationship Id="rId244" Type="http://schemas.openxmlformats.org/officeDocument/2006/relationships/hyperlink" Target="https://buttondown.com/nycofftech/archive/nyc-off-tech-mid-april-updates/" TargetMode="External"/><Relationship Id="rId245" Type="http://schemas.openxmlformats.org/officeDocument/2006/relationships/hyperlink" Target="https://buttondown.com/nycofftech/archive/nyc-off-tech-mid-april-updates/" TargetMode="External"/><Relationship Id="rId246" Type="http://schemas.openxmlformats.org/officeDocument/2006/relationships/hyperlink" Target="https://buttondown.com/nycofftech/archive/nyc-off-tech-mid-april-updates/" TargetMode="External"/><Relationship Id="rId247" Type="http://schemas.openxmlformats.org/officeDocument/2006/relationships/hyperlink" Target="https://buttondown.com/nycofftech/archive/nyc-off-tech-mid-april-updates/" TargetMode="External"/><Relationship Id="rId248" Type="http://schemas.openxmlformats.org/officeDocument/2006/relationships/hyperlink" Target="https://buttondown.com/nycofftech/archive/nyc-off-tech-mid-april-updates/" TargetMode="External"/><Relationship Id="rId249" Type="http://schemas.openxmlformats.org/officeDocument/2006/relationships/hyperlink" Target="https://buttondown.com/nycofftech/archive/nyc-off-tech-mid-april-updates/" TargetMode="External"/><Relationship Id="rId250" Type="http://schemas.openxmlformats.org/officeDocument/2006/relationships/hyperlink" Target="https://buttondown.com/nycofftech/archive/nyc-off-tech-mid-april-updates/" TargetMode="External"/><Relationship Id="rId251" Type="http://schemas.openxmlformats.org/officeDocument/2006/relationships/hyperlink" Target="https://buttondown.com/nycofftech/archive/nyc-off-tech-may/" TargetMode="External"/><Relationship Id="rId252" Type="http://schemas.openxmlformats.org/officeDocument/2006/relationships/hyperlink" Target="https://buttondown.com/nycofftech/archive/nyc-off-tech-may/" TargetMode="External"/><Relationship Id="rId253" Type="http://schemas.openxmlformats.org/officeDocument/2006/relationships/hyperlink" Target="https://buttondown.com/nycofftech/archive/nyc-off-tech-may/" TargetMode="External"/><Relationship Id="rId254" Type="http://schemas.openxmlformats.org/officeDocument/2006/relationships/hyperlink" Target="https://buttondown.com/nycofftech/archive/nyc-off-tech-may/" TargetMode="External"/><Relationship Id="rId255" Type="http://schemas.openxmlformats.org/officeDocument/2006/relationships/hyperlink" Target="https://buttondown.com/nycofftech/archive/nyc-off-tech-may/" TargetMode="External"/><Relationship Id="rId256" Type="http://schemas.openxmlformats.org/officeDocument/2006/relationships/hyperlink" Target="https://buttondown.com/nycofftech/archive/nyc-off-tech-may/" TargetMode="External"/><Relationship Id="rId257" Type="http://schemas.openxmlformats.org/officeDocument/2006/relationships/hyperlink" Target="https://buttondown.com/nycofftech/archive/nyc-off-tech-may/" TargetMode="External"/><Relationship Id="rId258" Type="http://schemas.openxmlformats.org/officeDocument/2006/relationships/hyperlink" Target="https://buttondown.com/nycofftech/archive/nyc-off-tech-may/" TargetMode="External"/><Relationship Id="rId259" Type="http://schemas.openxmlformats.org/officeDocument/2006/relationships/hyperlink" Target="https://buttondown.com/nycofftech/archive/nyc-off-tech-may/" TargetMode="External"/><Relationship Id="rId260" Type="http://schemas.openxmlformats.org/officeDocument/2006/relationships/hyperlink" Target="https://buttondown.com/nycofftech/archive/nyc-off-tech-may/" TargetMode="External"/><Relationship Id="rId261" Type="http://schemas.openxmlformats.org/officeDocument/2006/relationships/hyperlink" Target="https://buttondown.com/nycofftech/archive/nyc-off-tech-may/" TargetMode="External"/><Relationship Id="rId262" Type="http://schemas.openxmlformats.org/officeDocument/2006/relationships/hyperlink" Target="https://buttondown.com/nycofftech/archive/nyc-off-tech-may/" TargetMode="External"/><Relationship Id="rId263" Type="http://schemas.openxmlformats.org/officeDocument/2006/relationships/hyperlink" Target="https://buttondown.com/nycofftech/archive/nyc-off-tech-may/" TargetMode="External"/><Relationship Id="rId264" Type="http://schemas.openxmlformats.org/officeDocument/2006/relationships/hyperlink" Target="https://buttondown.com/nycofftech/archive/nyc-off-tech-may/" TargetMode="External"/><Relationship Id="rId265" Type="http://schemas.openxmlformats.org/officeDocument/2006/relationships/hyperlink" Target="https://buttondown.com/nycofftech/archive/nyc-off-tech-may/" TargetMode="External"/><Relationship Id="rId266" Type="http://schemas.openxmlformats.org/officeDocument/2006/relationships/hyperlink" Target="https://buttondown.com/nycofftech/archive/nyc-off-tech-may/" TargetMode="External"/><Relationship Id="rId267" Type="http://schemas.openxmlformats.org/officeDocument/2006/relationships/hyperlink" Target="https://buttondown.com/nycofftech/archive/nyc-off-tech-may/" TargetMode="External"/><Relationship Id="rId268" Type="http://schemas.openxmlformats.org/officeDocument/2006/relationships/hyperlink" Target="https://buttondown.com/nycofftech/archive/nyc-off-tech-may/" TargetMode="External"/><Relationship Id="rId269" Type="http://schemas.openxmlformats.org/officeDocument/2006/relationships/hyperlink" Target="https://buttondown.com/nycofftech/archive/nyc-off-tech-may/" TargetMode="External"/><Relationship Id="rId270" Type="http://schemas.openxmlformats.org/officeDocument/2006/relationships/hyperlink" Target="https://buttondown.com/nycofftech/archive/nyc-off-tech-may/" TargetMode="External"/><Relationship Id="rId271" Type="http://schemas.openxmlformats.org/officeDocument/2006/relationships/hyperlink" Target="https://buttondown.com/nycofftech/archive/nyc-off-tech-may/" TargetMode="External"/><Relationship Id="rId272" Type="http://schemas.openxmlformats.org/officeDocument/2006/relationships/hyperlink" Target="https://buttondown.com/nycofftech/archive/nyc-off-tech-may/" TargetMode="External"/><Relationship Id="rId273" Type="http://schemas.openxmlformats.org/officeDocument/2006/relationships/hyperlink" Target="https://buttondown.com/nycofftech/archive/nyc-off-tech-may/" TargetMode="External"/><Relationship Id="rId274" Type="http://schemas.openxmlformats.org/officeDocument/2006/relationships/hyperlink" Target="https://buttondown.com/nycofftech/archive/nyc-off-tech-may/" TargetMode="External"/><Relationship Id="rId275" Type="http://schemas.openxmlformats.org/officeDocument/2006/relationships/hyperlink" Target="https://buttondown.com/nycofftech/archive/nyc-off-tech-may/" TargetMode="External"/><Relationship Id="rId276" Type="http://schemas.openxmlformats.org/officeDocument/2006/relationships/hyperlink" Target="https://buttondown.com/nycofftech/archive/nyc-off-tech-may/" TargetMode="External"/><Relationship Id="rId277" Type="http://schemas.openxmlformats.org/officeDocument/2006/relationships/hyperlink" Target="https://buttondown.com/nycofftech/archive/nyc-off-tech-may/" TargetMode="External"/><Relationship Id="rId278" Type="http://schemas.openxmlformats.org/officeDocument/2006/relationships/hyperlink" Target="https://buttondown.com/nycofftech/archive/nyc-off-tech-may/" TargetMode="External"/><Relationship Id="rId279" Type="http://schemas.openxmlformats.org/officeDocument/2006/relationships/hyperlink" Target="https://buttondown.com/nycofftech/archive/nyc-off-tech-may/" TargetMode="External"/><Relationship Id="rId280" Type="http://schemas.openxmlformats.org/officeDocument/2006/relationships/hyperlink" Target="https://buttondown.com/nycofftech/archive/nyc-off-tech-may/" TargetMode="External"/><Relationship Id="rId281" Type="http://schemas.openxmlformats.org/officeDocument/2006/relationships/hyperlink" Target="https://buttondown.com/nycofftech/archive/nyc-off-tech-may/" TargetMode="External"/><Relationship Id="rId282" Type="http://schemas.openxmlformats.org/officeDocument/2006/relationships/hyperlink" Target="https://buttondown.com/nycofftech/archive/nyc-off-tech-may/" TargetMode="External"/><Relationship Id="rId283" Type="http://schemas.openxmlformats.org/officeDocument/2006/relationships/hyperlink" Target="https://buttondown.com/nycofftech/archive/nyc-off-tech-may/" TargetMode="External"/><Relationship Id="rId284" Type="http://schemas.openxmlformats.org/officeDocument/2006/relationships/hyperlink" Target="https://buttondown.com/nycofftech/archive/nyc-off-tech-may/" TargetMode="External"/><Relationship Id="rId285" Type="http://schemas.openxmlformats.org/officeDocument/2006/relationships/hyperlink" Target="https://buttondown.com/nycofftech/archive/nyc-off-tech-may/" TargetMode="External"/><Relationship Id="rId286" Type="http://schemas.openxmlformats.org/officeDocument/2006/relationships/hyperlink" Target="https://buttondown.com/nycofftech/archive/nyc-off-tech-may/" TargetMode="External"/><Relationship Id="rId287" Type="http://schemas.openxmlformats.org/officeDocument/2006/relationships/hyperlink" Target="https://buttondown.com/nycofftech/archive/nyc-off-tech-may/" TargetMode="External"/><Relationship Id="rId288" Type="http://schemas.openxmlformats.org/officeDocument/2006/relationships/hyperlink" Target="https://buttondown.com/nycofftech/archive/nyc-off-tech-may/" TargetMode="External"/><Relationship Id="rId289" Type="http://schemas.openxmlformats.org/officeDocument/2006/relationships/hyperlink" Target="https://buttondown.com/nycofftech/archive/nyc-off-tech-mid-may-updates/" TargetMode="External"/><Relationship Id="rId290" Type="http://schemas.openxmlformats.org/officeDocument/2006/relationships/hyperlink" Target="https://buttondown.com/nycofftech/archive/nyc-off-tech-mid-may-updates/" TargetMode="External"/><Relationship Id="rId291" Type="http://schemas.openxmlformats.org/officeDocument/2006/relationships/hyperlink" Target="https://buttondown.com/nycofftech/archive/nyc-off-tech-mid-may-updates/" TargetMode="External"/><Relationship Id="rId292" Type="http://schemas.openxmlformats.org/officeDocument/2006/relationships/hyperlink" Target="https://buttondown.com/nycofftech/archive/nyc-off-tech-mid-may-updates/" TargetMode="External"/><Relationship Id="rId293" Type="http://schemas.openxmlformats.org/officeDocument/2006/relationships/hyperlink" Target="https://buttondown.com/nycofftech/archive/nyc-off-tech-mid-may-updates/" TargetMode="External"/><Relationship Id="rId294" Type="http://schemas.openxmlformats.org/officeDocument/2006/relationships/hyperlink" Target="https://buttondown.com/nycofftech/archive/nyc-off-tech-mid-may-updates/" TargetMode="External"/><Relationship Id="rId295" Type="http://schemas.openxmlformats.org/officeDocument/2006/relationships/hyperlink" Target="https://buttondown.com/nycofftech/archive/nyc-off-tech-mid-may-updates/" TargetMode="External"/><Relationship Id="rId296" Type="http://schemas.openxmlformats.org/officeDocument/2006/relationships/hyperlink" Target="https://buttondown.com/nycofftech/archive/nyc-off-tech-mid-may-updates/" TargetMode="External"/><Relationship Id="rId297" Type="http://schemas.openxmlformats.org/officeDocument/2006/relationships/hyperlink" Target="https://buttondown.com/nycofftech/archive/nyc-off-tech-mid-may-updates/" TargetMode="External"/><Relationship Id="rId298" Type="http://schemas.openxmlformats.org/officeDocument/2006/relationships/hyperlink" Target="https://buttondown.com/nycofftech/archive/nyc-off-tech-mid-may-updates/" TargetMode="External"/><Relationship Id="rId299" Type="http://schemas.openxmlformats.org/officeDocument/2006/relationships/hyperlink" Target="https://buttondown.com/nycofftech/archive/nyc-off-tech-mid-may-updates/" TargetMode="External"/><Relationship Id="rId300" Type="http://schemas.openxmlformats.org/officeDocument/2006/relationships/hyperlink" Target="https://buttondown.com/nycofftech/archive/nyc-off-tech-mid-may-updates/" TargetMode="External"/><Relationship Id="rId301" Type="http://schemas.openxmlformats.org/officeDocument/2006/relationships/hyperlink" Target="https://buttondown.com/nycofftech/archive/nyc-off-tech-mid-may-updates/" TargetMode="External"/><Relationship Id="rId302" Type="http://schemas.openxmlformats.org/officeDocument/2006/relationships/hyperlink" Target="https://buttondown.com/nycofftech/archive/nyc-off-tech-mid-may-updates/" TargetMode="External"/><Relationship Id="rId303" Type="http://schemas.openxmlformats.org/officeDocument/2006/relationships/hyperlink" Target="https://buttondown.com/nycofftech/archive/nyc-off-tech-mid-may-updates/" TargetMode="External"/><Relationship Id="rId304" Type="http://schemas.openxmlformats.org/officeDocument/2006/relationships/hyperlink" Target="https://buttondown.com/nycofftech/archive/nyc-off-tech-mid-may-updates/" TargetMode="External"/><Relationship Id="rId305" Type="http://schemas.openxmlformats.org/officeDocument/2006/relationships/hyperlink" Target="https://buttondown.com/nycofftech/archive/nyc-off-tech-mid-may-updates/" TargetMode="External"/><Relationship Id="rId306" Type="http://schemas.openxmlformats.org/officeDocument/2006/relationships/hyperlink" Target="https://buttondown.com/nycofftech/archive/nyc-off-tech-mid-may-updates/" TargetMode="External"/><Relationship Id="rId307" Type="http://schemas.openxmlformats.org/officeDocument/2006/relationships/hyperlink" Target="https://buttondown.com/nycofftech/archive/nyc-off-tech-mid-may-updates/" TargetMode="External"/><Relationship Id="rId308" Type="http://schemas.openxmlformats.org/officeDocument/2006/relationships/hyperlink" Target="https://buttondown.com/nycofftech/archive/nyc-off-tech-mid-may-updates/" TargetMode="External"/><Relationship Id="rId309" Type="http://schemas.openxmlformats.org/officeDocument/2006/relationships/hyperlink" Target="https://buttondown.com/nycofftech/archive/nyc-off-tech-mid-may-updates/" TargetMode="External"/><Relationship Id="rId310" Type="http://schemas.openxmlformats.org/officeDocument/2006/relationships/hyperlink" Target="https://buttondown.com/nycofftech/archive/nyc-off-tech-mid-may-updates/" TargetMode="External"/><Relationship Id="rId311" Type="http://schemas.openxmlformats.org/officeDocument/2006/relationships/hyperlink" Target="https://buttondown.com/nycofftech/archive/nyc-off-tech-mid-may-updates/" TargetMode="External"/><Relationship Id="rId312" Type="http://schemas.openxmlformats.org/officeDocument/2006/relationships/hyperlink" Target="https://buttondown.com/nycofftech/archive/nyc-off-tech-mid-may-updates/" TargetMode="External"/><Relationship Id="rId313" Type="http://schemas.openxmlformats.org/officeDocument/2006/relationships/hyperlink" Target="https://buttondown.com/nycofftech/archive/nyc-off-tech-mid-may-updates/" TargetMode="External"/><Relationship Id="rId314" Type="http://schemas.openxmlformats.org/officeDocument/2006/relationships/hyperlink" Target="https://buttondown.com/nycofftech/archive/nyc-off-tech-mid-may-updates/" TargetMode="External"/><Relationship Id="rId315" Type="http://schemas.openxmlformats.org/officeDocument/2006/relationships/hyperlink" Target="https://buttondown.com/nycofftech/archive/nyc-off-tech-mid-may-updates/" TargetMode="External"/><Relationship Id="rId316" Type="http://schemas.openxmlformats.org/officeDocument/2006/relationships/hyperlink" Target="https://buttondown.com/nycofftech/archive/nyc-off-tech-mid-may-updates/" TargetMode="External"/><Relationship Id="rId317" Type="http://schemas.openxmlformats.org/officeDocument/2006/relationships/hyperlink" Target="https://buttondown.com/nycofftech/archive/nyc-off-tech-mid-may-updates/" TargetMode="External"/><Relationship Id="rId318" Type="http://schemas.openxmlformats.org/officeDocument/2006/relationships/hyperlink" Target="https://buttondown.com/nycofftech/archive/nyc-off-tech-mid-may-updates/" TargetMode="External"/><Relationship Id="rId319" Type="http://schemas.openxmlformats.org/officeDocument/2006/relationships/hyperlink" Target="https://buttondown.com/nycofftech/archive/nyc-off-tech-mid-may-updates/" TargetMode="External"/><Relationship Id="rId320" Type="http://schemas.openxmlformats.org/officeDocument/2006/relationships/hyperlink" Target="https://buttondown.com/nycofftech/archive/nyc-off-tech-mid-may-updates/" TargetMode="External"/><Relationship Id="rId321" Type="http://schemas.openxmlformats.org/officeDocument/2006/relationships/hyperlink" Target="https://buttondown.com/nycofftech/archive/nyc-off-tech-mid-may-updates/" TargetMode="External"/><Relationship Id="rId322" Type="http://schemas.openxmlformats.org/officeDocument/2006/relationships/hyperlink" Target="https://buttondown.com/nycofftech/archive/nyc-off-tech-mid-may-updates/" TargetMode="External"/><Relationship Id="rId323" Type="http://schemas.openxmlformats.org/officeDocument/2006/relationships/hyperlink" Target="https://buttondown.com/nycofftech/archive/nyc-off-tech-mid-may-updates/" TargetMode="External"/><Relationship Id="rId324" Type="http://schemas.openxmlformats.org/officeDocument/2006/relationships/hyperlink" Target="https://buttondown.com/nycofftech/archive/nyc-off-tech-mid-may-updates/" TargetMode="External"/><Relationship Id="rId325" Type="http://schemas.openxmlformats.org/officeDocument/2006/relationships/hyperlink" Target="https://buttondown.com/nycofftech/archive/nyc-off-tech-mid-may-updates/" TargetMode="External"/><Relationship Id="rId326" Type="http://schemas.openxmlformats.org/officeDocument/2006/relationships/hyperlink" Target="https://buttondown.com/nycofftech/archive/nyc-off-tech-mid-may-updates/" TargetMode="External"/><Relationship Id="rId327" Type="http://schemas.openxmlformats.org/officeDocument/2006/relationships/hyperlink" Target="https://buttondown.com/nycofftech/archive/nyc-off-tech-mid-may-updates/" TargetMode="External"/><Relationship Id="rId328" Type="http://schemas.openxmlformats.org/officeDocument/2006/relationships/hyperlink" Target="https://buttondown.com/nycofftech/archive/nyc-off-tech-mid-may-updates/" TargetMode="External"/><Relationship Id="rId329" Type="http://schemas.openxmlformats.org/officeDocument/2006/relationships/hyperlink" Target="https://buttondown.com/nycofftech/archive/nyc-off-tech-mid-may-updates/" TargetMode="External"/><Relationship Id="rId330" Type="http://schemas.openxmlformats.org/officeDocument/2006/relationships/hyperlink" Target="https://buttondown.com/nycofftech/archive/nyc-off-tech-mid-may-updates/" TargetMode="External"/><Relationship Id="rId331" Type="http://schemas.openxmlformats.org/officeDocument/2006/relationships/hyperlink" Target="https://buttondown.com/nycofftech/archive/nyc-off-tech-mid-may-updates/" TargetMode="External"/><Relationship Id="rId332" Type="http://schemas.openxmlformats.org/officeDocument/2006/relationships/hyperlink" Target="https://buttondown.com/nycofftech/archive/nyc-off-tech-mid-may-updates/" TargetMode="External"/><Relationship Id="rId333" Type="http://schemas.openxmlformats.org/officeDocument/2006/relationships/hyperlink" Target="https://buttondown.com/nycofftech/archive/nyc-off-tech-june/" TargetMode="External"/><Relationship Id="rId334" Type="http://schemas.openxmlformats.org/officeDocument/2006/relationships/hyperlink" Target="https://buttondown.com/nycofftech/archive/nyc-off-tech-june/" TargetMode="External"/><Relationship Id="rId335" Type="http://schemas.openxmlformats.org/officeDocument/2006/relationships/hyperlink" Target="https://buttondown.com/nycofftech/archive/nyc-off-tech-june/" TargetMode="External"/><Relationship Id="rId336" Type="http://schemas.openxmlformats.org/officeDocument/2006/relationships/hyperlink" Target="https://buttondown.com/nycofftech/archive/nyc-off-tech-june/" TargetMode="External"/><Relationship Id="rId337" Type="http://schemas.openxmlformats.org/officeDocument/2006/relationships/hyperlink" Target="https://buttondown.com/nycofftech/archive/nyc-off-tech-june/" TargetMode="External"/><Relationship Id="rId338" Type="http://schemas.openxmlformats.org/officeDocument/2006/relationships/hyperlink" Target="https://buttondown.com/nycofftech/archive/nyc-off-tech-june/" TargetMode="External"/><Relationship Id="rId339" Type="http://schemas.openxmlformats.org/officeDocument/2006/relationships/hyperlink" Target="https://buttondown.com/nycofftech/archive/nyc-off-tech-june/" TargetMode="External"/><Relationship Id="rId340" Type="http://schemas.openxmlformats.org/officeDocument/2006/relationships/hyperlink" Target="https://buttondown.com/nycofftech/archive/nyc-off-tech-june/" TargetMode="External"/><Relationship Id="rId341" Type="http://schemas.openxmlformats.org/officeDocument/2006/relationships/hyperlink" Target="https://buttondown.com/nycofftech/archive/nyc-off-tech-june/" TargetMode="External"/><Relationship Id="rId342" Type="http://schemas.openxmlformats.org/officeDocument/2006/relationships/hyperlink" Target="https://buttondown.com/nycofftech/archive/nyc-off-tech-june/" TargetMode="External"/><Relationship Id="rId343" Type="http://schemas.openxmlformats.org/officeDocument/2006/relationships/hyperlink" Target="https://buttondown.com/nycofftech/archive/nyc-off-tech-june/" TargetMode="External"/><Relationship Id="rId344" Type="http://schemas.openxmlformats.org/officeDocument/2006/relationships/hyperlink" Target="https://buttondown.com/nycofftech/archive/nyc-off-tech-june/" TargetMode="External"/><Relationship Id="rId345" Type="http://schemas.openxmlformats.org/officeDocument/2006/relationships/hyperlink" Target="https://buttondown.com/nycofftech/archive/nyc-off-tech-june/" TargetMode="External"/><Relationship Id="rId346" Type="http://schemas.openxmlformats.org/officeDocument/2006/relationships/hyperlink" Target="https://buttondown.com/nycofftech/archive/nyc-off-tech-june/" TargetMode="External"/><Relationship Id="rId347" Type="http://schemas.openxmlformats.org/officeDocument/2006/relationships/hyperlink" Target="https://buttondown.com/nycofftech/archive/nyc-off-tech-june/" TargetMode="External"/><Relationship Id="rId348" Type="http://schemas.openxmlformats.org/officeDocument/2006/relationships/hyperlink" Target="https://buttondown.com/nycofftech/archive/nyc-off-tech-june/" TargetMode="External"/><Relationship Id="rId349" Type="http://schemas.openxmlformats.org/officeDocument/2006/relationships/hyperlink" Target="https://buttondown.com/nycofftech/archive/nyc-off-tech-june/" TargetMode="External"/><Relationship Id="rId350" Type="http://schemas.openxmlformats.org/officeDocument/2006/relationships/hyperlink" Target="https://buttondown.com/nycofftech/archive/nyc-off-tech-june/" TargetMode="External"/><Relationship Id="rId351" Type="http://schemas.openxmlformats.org/officeDocument/2006/relationships/hyperlink" Target="https://buttondown.com/nycofftech/archive/nyc-off-tech-june/" TargetMode="External"/><Relationship Id="rId352" Type="http://schemas.openxmlformats.org/officeDocument/2006/relationships/hyperlink" Target="https://buttondown.com/nycofftech/archive/nyc-off-tech-june/" TargetMode="External"/><Relationship Id="rId353" Type="http://schemas.openxmlformats.org/officeDocument/2006/relationships/hyperlink" Target="https://buttondown.com/nycofftech/archive/nyc-off-tech-june/" TargetMode="External"/><Relationship Id="rId354" Type="http://schemas.openxmlformats.org/officeDocument/2006/relationships/hyperlink" Target="https://buttondown.com/nycofftech/archive/nyc-off-tech-june/" TargetMode="External"/><Relationship Id="rId355" Type="http://schemas.openxmlformats.org/officeDocument/2006/relationships/hyperlink" Target="https://buttondown.com/nycofftech/archive/nyc-off-tech-june/" TargetMode="External"/><Relationship Id="rId356" Type="http://schemas.openxmlformats.org/officeDocument/2006/relationships/hyperlink" Target="https://buttondown.com/nycofftech/archive/nyc-off-tech-june/" TargetMode="External"/><Relationship Id="rId357" Type="http://schemas.openxmlformats.org/officeDocument/2006/relationships/hyperlink" Target="https://buttondown.com/nycofftech/archive/nyc-off-tech-june/" TargetMode="External"/><Relationship Id="rId358" Type="http://schemas.openxmlformats.org/officeDocument/2006/relationships/hyperlink" Target="https://buttondown.com/nycofftech/archive/nyc-off-tech-june/" TargetMode="External"/><Relationship Id="rId359" Type="http://schemas.openxmlformats.org/officeDocument/2006/relationships/hyperlink" Target="https://buttondown.com/nycofftech/archive/nyc-off-tech-june/" TargetMode="External"/><Relationship Id="rId360" Type="http://schemas.openxmlformats.org/officeDocument/2006/relationships/hyperlink" Target="https://buttondown.com/nycofftech/archive/nyc-off-tech-june/" TargetMode="External"/><Relationship Id="rId361" Type="http://schemas.openxmlformats.org/officeDocument/2006/relationships/hyperlink" Target="https://buttondown.com/nycofftech/archive/nyc-off-tech-june/" TargetMode="External"/><Relationship Id="rId362" Type="http://schemas.openxmlformats.org/officeDocument/2006/relationships/hyperlink" Target="https://buttondown.com/nycofftech/archive/nyc-off-tech-june/" TargetMode="External"/><Relationship Id="rId363" Type="http://schemas.openxmlformats.org/officeDocument/2006/relationships/hyperlink" Target="https://buttondown.com/nycofftech/archive/nyc-off-tech-june/" TargetMode="External"/><Relationship Id="rId364" Type="http://schemas.openxmlformats.org/officeDocument/2006/relationships/hyperlink" Target="https://buttondown.com/nycofftech/archive/nyc-off-tech-june/" TargetMode="External"/><Relationship Id="rId365" Type="http://schemas.openxmlformats.org/officeDocument/2006/relationships/hyperlink" Target="https://buttondown.com/nycofftech/archive/nyc-off-tech-june/" TargetMode="External"/><Relationship Id="rId366" Type="http://schemas.openxmlformats.org/officeDocument/2006/relationships/hyperlink" Target="https://buttondown.com/nycofftech/archive/nyc-off-tech-june/" TargetMode="External"/><Relationship Id="rId367" Type="http://schemas.openxmlformats.org/officeDocument/2006/relationships/hyperlink" Target="https://buttondown.com/nycofftech/archive/nyc-off-tech-mid-june-updates/" TargetMode="External"/><Relationship Id="rId368" Type="http://schemas.openxmlformats.org/officeDocument/2006/relationships/hyperlink" Target="https://buttondown.com/nycofftech/archive/nyc-off-tech-mid-june-updates/" TargetMode="External"/><Relationship Id="rId369" Type="http://schemas.openxmlformats.org/officeDocument/2006/relationships/hyperlink" Target="https://buttondown.com/nycofftech/archive/nyc-off-tech-mid-june-updates/" TargetMode="External"/><Relationship Id="rId370" Type="http://schemas.openxmlformats.org/officeDocument/2006/relationships/hyperlink" Target="https://buttondown.com/nycofftech/archive/nyc-off-tech-mid-june-updates/" TargetMode="External"/><Relationship Id="rId371" Type="http://schemas.openxmlformats.org/officeDocument/2006/relationships/hyperlink" Target="https://buttondown.com/nycofftech/archive/nyc-off-tech-mid-june-updates/" TargetMode="External"/><Relationship Id="rId372" Type="http://schemas.openxmlformats.org/officeDocument/2006/relationships/hyperlink" Target="https://buttondown.com/nycofftech/archive/nyc-off-tech-mid-june-updates/" TargetMode="External"/><Relationship Id="rId373" Type="http://schemas.openxmlformats.org/officeDocument/2006/relationships/hyperlink" Target="https://buttondown.com/nycofftech/archive/nyc-off-tech-mid-june-updates/" TargetMode="External"/><Relationship Id="rId374" Type="http://schemas.openxmlformats.org/officeDocument/2006/relationships/hyperlink" Target="https://buttondown.com/nycofftech/archive/nyc-off-tech-mid-june-updates/" TargetMode="External"/><Relationship Id="rId375" Type="http://schemas.openxmlformats.org/officeDocument/2006/relationships/hyperlink" Target="https://buttondown.com/nycofftech/archive/nyc-off-tech-mid-june-updates/" TargetMode="External"/><Relationship Id="rId376" Type="http://schemas.openxmlformats.org/officeDocument/2006/relationships/hyperlink" Target="https://buttondown.com/nycofftech/archive/nyc-off-tech-mid-june-updates/" TargetMode="External"/><Relationship Id="rId377" Type="http://schemas.openxmlformats.org/officeDocument/2006/relationships/hyperlink" Target="https://buttondown.com/nycofftech/archive/nyc-off-tech-mid-june-updates/" TargetMode="External"/><Relationship Id="rId378" Type="http://schemas.openxmlformats.org/officeDocument/2006/relationships/hyperlink" Target="https://buttondown.com/nycofftech/archive/nyc-off-tech-mid-june-updates/" TargetMode="External"/><Relationship Id="rId379" Type="http://schemas.openxmlformats.org/officeDocument/2006/relationships/hyperlink" Target="https://buttondown.com/nycofftech/archive/nyc-off-tech-mid-june-updates/" TargetMode="External"/><Relationship Id="rId380" Type="http://schemas.openxmlformats.org/officeDocument/2006/relationships/hyperlink" Target="https://buttondown.com/nycofftech/archive/nyc-off-tech-mid-june-updates/" TargetMode="External"/><Relationship Id="rId381" Type="http://schemas.openxmlformats.org/officeDocument/2006/relationships/hyperlink" Target="https://buttondown.com/nycofftech/archive/nyc-off-tech-mid-june-updates/" TargetMode="External"/><Relationship Id="rId382" Type="http://schemas.openxmlformats.org/officeDocument/2006/relationships/hyperlink" Target="https://buttondown.com/nycofftech/archive/nyc-off-tech-mid-june-updates/" TargetMode="External"/><Relationship Id="rId383" Type="http://schemas.openxmlformats.org/officeDocument/2006/relationships/hyperlink" Target="https://buttondown.com/nycofftech/archive/nyc-off-tech-mid-june-updates/" TargetMode="External"/><Relationship Id="rId384" Type="http://schemas.openxmlformats.org/officeDocument/2006/relationships/hyperlink" Target="https://buttondown.com/nycofftech/archive/nyc-off-tech-mid-june-updates/" TargetMode="External"/><Relationship Id="rId385" Type="http://schemas.openxmlformats.org/officeDocument/2006/relationships/hyperlink" Target="https://buttondown.com/nycofftech/archive/nyc-off-tech-mid-june-updates/" TargetMode="External"/><Relationship Id="rId386" Type="http://schemas.openxmlformats.org/officeDocument/2006/relationships/hyperlink" Target="https://buttondown.com/nycofftech/archive/nyc-off-tech-mid-june-updates/" TargetMode="External"/><Relationship Id="rId387" Type="http://schemas.openxmlformats.org/officeDocument/2006/relationships/hyperlink" Target="https://buttondown.com/nycofftech/archive/nyc-off-tech-mid-june-updates/" TargetMode="External"/><Relationship Id="rId388" Type="http://schemas.openxmlformats.org/officeDocument/2006/relationships/hyperlink" Target="https://buttondown.com/nycofftech/archive/nyc-off-tech-mid-june-updates/" TargetMode="External"/><Relationship Id="rId389" Type="http://schemas.openxmlformats.org/officeDocument/2006/relationships/hyperlink" Target="https://buttondown.com/nycofftech/archive/nyc-off-tech-mid-june-updates/" TargetMode="External"/><Relationship Id="rId390" Type="http://schemas.openxmlformats.org/officeDocument/2006/relationships/hyperlink" Target="https://buttondown.com/nycofftech/archive/nyc-off-tech-mid-june-updates/" TargetMode="External"/><Relationship Id="rId391" Type="http://schemas.openxmlformats.org/officeDocument/2006/relationships/hyperlink" Target="https://buttondown.com/nycofftech/archive/nyc-off-tech-mid-june-updates/" TargetMode="External"/><Relationship Id="rId392" Type="http://schemas.openxmlformats.org/officeDocument/2006/relationships/hyperlink" Target="https://buttondown.com/nycofftech/archive/nyc-off-tech-mid-june-updates/" TargetMode="External"/><Relationship Id="rId393" Type="http://schemas.openxmlformats.org/officeDocument/2006/relationships/hyperlink" Target="https://buttondown.com/nycofftech/archive/nyc-off-tech-mid-june-updates/" TargetMode="External"/><Relationship Id="rId394" Type="http://schemas.openxmlformats.org/officeDocument/2006/relationships/hyperlink" Target="https://buttondown.com/nycofftech/archive/nyc-off-tech-mid-june-updates/" TargetMode="External"/><Relationship Id="rId395" Type="http://schemas.openxmlformats.org/officeDocument/2006/relationships/hyperlink" Target="https://buttondown.com/nycofftech/archive/nyc-off-tech-mid-june-updates/" TargetMode="External"/><Relationship Id="rId396" Type="http://schemas.openxmlformats.org/officeDocument/2006/relationships/hyperlink" Target="https://buttondown.com/nycofftech/archive/nyc-off-tech-mid-june-updates/" TargetMode="External"/><Relationship Id="rId397" Type="http://schemas.openxmlformats.org/officeDocument/2006/relationships/hyperlink" Target="https://buttondown.com/nycofftech/archive/nyc-off-tech-mid-june-updates/" TargetMode="External"/><Relationship Id="rId398" Type="http://schemas.openxmlformats.org/officeDocument/2006/relationships/hyperlink" Target="https://buttondown.com/nycofftech/archive/nyc-off-tech-mid-june-updates/" TargetMode="External"/><Relationship Id="rId399" Type="http://schemas.openxmlformats.org/officeDocument/2006/relationships/hyperlink" Target="https://buttondown.com/nycofftech/archive/nyc-off-tech-mid-june-updates/" TargetMode="External"/><Relationship Id="rId400" Type="http://schemas.openxmlformats.org/officeDocument/2006/relationships/hyperlink" Target="https://buttondown.com/nycofftech/archive/nyc-off-tech-mid-june-updates/" TargetMode="External"/><Relationship Id="rId401" Type="http://schemas.openxmlformats.org/officeDocument/2006/relationships/hyperlink" Target="https://buttondown.com/nycofftech/archive/nyc-off-tech-mid-june-updates/" TargetMode="External"/><Relationship Id="rId402" Type="http://schemas.openxmlformats.org/officeDocument/2006/relationships/hyperlink" Target="https://buttondown.com/nycofftech/archive/nyc-off-tech-mid-june-updates/" TargetMode="External"/><Relationship Id="rId403" Type="http://schemas.openxmlformats.org/officeDocument/2006/relationships/hyperlink" Target="https://buttondown.com/nycofftech/archive/nyc-off-tech-mid-june-updates/" TargetMode="External"/><Relationship Id="rId404" Type="http://schemas.openxmlformats.org/officeDocument/2006/relationships/hyperlink" Target="https://buttondown.com/nycofftech/archive/nyc-off-tech-mid-june-updates/" TargetMode="External"/><Relationship Id="rId405" Type="http://schemas.openxmlformats.org/officeDocument/2006/relationships/hyperlink" Target="https://buttondown.com/nycofftech/archive/summer-of-ludd-schedule/" TargetMode="External"/><Relationship Id="rId406" Type="http://schemas.openxmlformats.org/officeDocument/2006/relationships/hyperlink" Target="https://buttondown.com/nycofftech/archive/summer-of-ludd-schedule/" TargetMode="External"/><Relationship Id="rId407" Type="http://schemas.openxmlformats.org/officeDocument/2006/relationships/hyperlink" Target="https://buttondown.com/nycofftech/archive/summer-of-ludd-schedule/" TargetMode="External"/><Relationship Id="rId408" Type="http://schemas.openxmlformats.org/officeDocument/2006/relationships/hyperlink" Target="https://buttondown.com/nycofftech/archive/summer-of-ludd-schedule/" TargetMode="External"/><Relationship Id="rId409" Type="http://schemas.openxmlformats.org/officeDocument/2006/relationships/hyperlink" Target="https://buttondown.com/nycofftech/archive/summer-of-ludd-schedule/" TargetMode="External"/><Relationship Id="rId410" Type="http://schemas.openxmlformats.org/officeDocument/2006/relationships/hyperlink" Target="https://buttondown.com/nycofftech/archive/summer-of-ludd-schedule/" TargetMode="External"/><Relationship Id="rId411" Type="http://schemas.openxmlformats.org/officeDocument/2006/relationships/hyperlink" Target="https://buttondown.com/nycofftech/archive/summer-of-ludd-schedule/" TargetMode="External"/><Relationship Id="rId412" Type="http://schemas.openxmlformats.org/officeDocument/2006/relationships/hyperlink" Target="https://buttondown.com/nycofftech/archive/summer-of-ludd-schedule/" TargetMode="External"/><Relationship Id="rId413" Type="http://schemas.openxmlformats.org/officeDocument/2006/relationships/hyperlink" Target="https://buttondown.com/nycofftech/archive/summer-of-ludd-schedule/" TargetMode="External"/><Relationship Id="rId414" Type="http://schemas.openxmlformats.org/officeDocument/2006/relationships/hyperlink" Target="https://buttondown.com/nycofftech/archive/summer-of-ludd-schedule/" TargetMode="External"/><Relationship Id="rId415" Type="http://schemas.openxmlformats.org/officeDocument/2006/relationships/hyperlink" Target="https://buttondown.com/nycofftech/archive/summer-of-ludd-schedule/" TargetMode="External"/><Relationship Id="rId416" Type="http://schemas.openxmlformats.org/officeDocument/2006/relationships/hyperlink" Target="https://buttondown.com/nycofftech/archive/summer-of-ludd-schedule/" TargetMode="External"/><Relationship Id="rId417" Type="http://schemas.openxmlformats.org/officeDocument/2006/relationships/hyperlink" Target="https://buttondown.com/nycofftech/archive/summer-of-ludd-schedule/" TargetMode="External"/><Relationship Id="rId418" Type="http://schemas.openxmlformats.org/officeDocument/2006/relationships/hyperlink" Target="https://buttondown.com/nycofftech/archive/summer-of-ludd-schedule/" TargetMode="External"/><Relationship Id="rId419" Type="http://schemas.openxmlformats.org/officeDocument/2006/relationships/hyperlink" Target="https://buttondown.com/nycofftech/archive/summer-of-ludd-schedule/" TargetMode="External"/><Relationship Id="rId420" Type="http://schemas.openxmlformats.org/officeDocument/2006/relationships/hyperlink" Target="https://buttondown.com/nycofftech/archive/summer-of-ludd-schedule/" TargetMode="External"/><Relationship Id="rId421" Type="http://schemas.openxmlformats.org/officeDocument/2006/relationships/hyperlink" Target="https://buttondown.com/nycofftech/archive/summer-of-ludd-schedule/" TargetMode="External"/><Relationship Id="rId422" Type="http://schemas.openxmlformats.org/officeDocument/2006/relationships/hyperlink" Target="https://buttondown.com/nycofftech/archive/summer-of-ludd-schedule/" TargetMode="External"/><Relationship Id="rId423" Type="http://schemas.openxmlformats.org/officeDocument/2006/relationships/hyperlink" Target="https://buttondown.com/nycofftech/archive/summer-of-ludd-schedule/" TargetMode="External"/><Relationship Id="rId424" Type="http://schemas.openxmlformats.org/officeDocument/2006/relationships/hyperlink" Target="https://buttondown.com/nycofftech/archive/summer-of-ludd-schedule/" TargetMode="External"/><Relationship Id="rId425" Type="http://schemas.openxmlformats.org/officeDocument/2006/relationships/hyperlink" Target="https://buttondown.com/nycofftech/archive/summer-of-ludd-schedule/" TargetMode="External"/><Relationship Id="rId426" Type="http://schemas.openxmlformats.org/officeDocument/2006/relationships/hyperlink" Target="https://buttondown.com/nycofftech/archive/summer-of-ludd-schedule/" TargetMode="External"/><Relationship Id="rId427" Type="http://schemas.openxmlformats.org/officeDocument/2006/relationships/hyperlink" Target="https://buttondown.com/nycofftech/archive/summer-of-ludd-schedule/" TargetMode="External"/><Relationship Id="rId428" Type="http://schemas.openxmlformats.org/officeDocument/2006/relationships/hyperlink" Target="https://buttondown.com/nycofftech/archive/summer-of-ludd-schedule/" TargetMode="External"/><Relationship Id="rId429" Type="http://schemas.openxmlformats.org/officeDocument/2006/relationships/hyperlink" Target="https://buttondown.com/nycofftech/archive/summer-of-ludd-schedule/" TargetMode="External"/><Relationship Id="rId430" Type="http://schemas.openxmlformats.org/officeDocument/2006/relationships/hyperlink" Target="https://buttondown.com/nycofftech/archive/summer-of-ludd-schedule/" TargetMode="External"/><Relationship Id="rId431" Type="http://schemas.openxmlformats.org/officeDocument/2006/relationships/hyperlink" Target="https://buttondown.com/nycofftech/archive/summer-of-ludd-schedule/" TargetMode="External"/><Relationship Id="rId432" Type="http://schemas.openxmlformats.org/officeDocument/2006/relationships/hyperlink" Target="https://buttondown.com/nycofftech/archive/summer-of-ludd-schedule/" TargetMode="External"/><Relationship Id="rId433" Type="http://schemas.openxmlformats.org/officeDocument/2006/relationships/hyperlink" Target="https://buttondown.com/nycofftech/archive/summer-of-ludd-schedule/" TargetMode="External"/><Relationship Id="rId434" Type="http://schemas.openxmlformats.org/officeDocument/2006/relationships/hyperlink" Target="https://buttondown.com/nycofftech/archive/summer-of-ludd-schedule/" TargetMode="External"/><Relationship Id="rId435" Type="http://schemas.openxmlformats.org/officeDocument/2006/relationships/hyperlink" Target="https://buttondown.com/nycofftech/archive/summer-of-ludd-schedule/" TargetMode="External"/><Relationship Id="rId436" Type="http://schemas.openxmlformats.org/officeDocument/2006/relationships/hyperlink" Target="https://buttondown.com/nycofftech/archive/summer-of-ludd-schedule/" TargetMode="External"/><Relationship Id="rId437" Type="http://schemas.openxmlformats.org/officeDocument/2006/relationships/hyperlink" Target="https://buttondown.com/nycofftech/archive/summer-of-ludd-schedule/" TargetMode="External"/><Relationship Id="rId438" Type="http://schemas.openxmlformats.org/officeDocument/2006/relationships/hyperlink" Target="https://buttondown.com/nycofftech/archive/summer-of-ludd-schedule/" TargetMode="External"/><Relationship Id="rId439" Type="http://schemas.openxmlformats.org/officeDocument/2006/relationships/hyperlink" Target="https://buttondown.com/nycofftech/archive/summer-of-ludd-schedule/" TargetMode="External"/><Relationship Id="rId440" Type="http://schemas.openxmlformats.org/officeDocument/2006/relationships/hyperlink" Target="https://buttondown.com/nycofftech/archive/summer-of-ludd-schedule/" TargetMode="External"/><Relationship Id="rId441" Type="http://schemas.openxmlformats.org/officeDocument/2006/relationships/hyperlink" Target="https://buttondown.com/nycofftech/archive/summer-of-ludd-schedule/" TargetMode="External"/><Relationship Id="rId442" Type="http://schemas.openxmlformats.org/officeDocument/2006/relationships/hyperlink" Target="https://buttondown.com/nycofftech/archive/summer-of-ludd-schedule/" TargetMode="External"/><Relationship Id="rId443" Type="http://schemas.openxmlformats.org/officeDocument/2006/relationships/hyperlink" Target="https://buttondown.com/nycofftech/archive/summer-of-ludd-schedule/" TargetMode="External"/><Relationship Id="rId444" Type="http://schemas.openxmlformats.org/officeDocument/2006/relationships/hyperlink" Target="https://buttondown.com/nycofftech/archive/summer-of-ludd-schedule/" TargetMode="External"/><Relationship Id="rId445" Type="http://schemas.openxmlformats.org/officeDocument/2006/relationships/hyperlink" Target="https://buttondown.com/nycofftech/archive/summer-of-ludd-schedule/" TargetMode="External"/><Relationship Id="rId446" Type="http://schemas.openxmlformats.org/officeDocument/2006/relationships/hyperlink" Target="https://buttondown.com/nycofftech/archive/summer-of-ludd-schedule/" TargetMode="External"/><Relationship Id="rId447" Type="http://schemas.openxmlformats.org/officeDocument/2006/relationships/hyperlink" Target="https://buttondown.com/nycofftech/archive/summer-of-ludd-schedule/" TargetMode="External"/><Relationship Id="rId448" Type="http://schemas.openxmlformats.org/officeDocument/2006/relationships/hyperlink" Target="https://buttondown.com/nycofftech/archive/summer-of-ludd-schedule/" TargetMode="External"/><Relationship Id="rId449" Type="http://schemas.openxmlformats.org/officeDocument/2006/relationships/hyperlink" Target="https://buttondown.com/nycofftech/archive/summer-of-ludd-schedule/" TargetMode="External"/><Relationship Id="rId450" Type="http://schemas.openxmlformats.org/officeDocument/2006/relationships/hyperlink" Target="https://buttondown.com/nycofftech/archive/summer-of-ludd-schedule/" TargetMode="External"/><Relationship Id="rId451" Type="http://schemas.openxmlformats.org/officeDocument/2006/relationships/hyperlink" Target="https://buttondown.com/nycofftech/archive/summer-of-ludd-schedule/" TargetMode="External"/><Relationship Id="rId452" Type="http://schemas.openxmlformats.org/officeDocument/2006/relationships/hyperlink" Target="https://buttondown.com/nycofftech/archive/summer-of-ludd-schedule/" TargetMode="External"/><Relationship Id="rId453" Type="http://schemas.openxmlformats.org/officeDocument/2006/relationships/hyperlink" Target="https://buttondown.com/nycofftech/archive/summer-of-ludd-schedule/" TargetMode="External"/><Relationship Id="rId454" Type="http://schemas.openxmlformats.org/officeDocument/2006/relationships/hyperlink" Target="https://buttondown.com/nycofftech/archive/summer-of-ludd-schedule/" TargetMode="External"/><Relationship Id="rId455" Type="http://schemas.openxmlformats.org/officeDocument/2006/relationships/hyperlink" Target="https://buttondown.com/nycofftech/archive/summer-of-ludd-schedule/" TargetMode="External"/><Relationship Id="rId456" Type="http://schemas.openxmlformats.org/officeDocument/2006/relationships/hyperlink" Target="https://buttondown.com/nycofftech/archive/summer-of-ludd-schedule/" TargetMode="External"/><Relationship Id="rId457" Type="http://schemas.openxmlformats.org/officeDocument/2006/relationships/hyperlink" Target="https://buttondown.com/nycofftech/archive/summer-of-ludd-schedule/" TargetMode="External"/><Relationship Id="rId458" Type="http://schemas.openxmlformats.org/officeDocument/2006/relationships/hyperlink" Target="https://buttondown.com/nycofftech/archive/summer-of-ludd-schedule/" TargetMode="External"/><Relationship Id="rId459" Type="http://schemas.openxmlformats.org/officeDocument/2006/relationships/hyperlink" Target="https://buttondown.com/nycofftech/archive/summer-of-ludd-schedule/" TargetMode="External"/><Relationship Id="rId460" Type="http://schemas.openxmlformats.org/officeDocument/2006/relationships/hyperlink" Target="https://buttondown.com/nycofftech/archive/summer-of-ludd-schedule/" TargetMode="External"/><Relationship Id="rId461" Type="http://schemas.openxmlformats.org/officeDocument/2006/relationships/hyperlink" Target="https://buttondown.com/nycofftech/archive/summer-of-ludd-schedule/" TargetMode="External"/><Relationship Id="rId462" Type="http://schemas.openxmlformats.org/officeDocument/2006/relationships/hyperlink" Target="https://buttondown.com/nycofftech/archive/summer-of-ludd-schedule/" TargetMode="External"/><Relationship Id="rId463" Type="http://schemas.openxmlformats.org/officeDocument/2006/relationships/hyperlink" Target="https://buttondown.com/nycofftech/archive/summer-of-ludd-schedule/" TargetMode="External"/><Relationship Id="rId464" Type="http://schemas.openxmlformats.org/officeDocument/2006/relationships/hyperlink" Target="https://buttondown.com/nycofftech/archive/summer-of-ludd-schedule/" TargetMode="External"/><Relationship Id="rId465" Type="http://schemas.openxmlformats.org/officeDocument/2006/relationships/hyperlink" Target="https://buttondown.com/nycofftech/archive/summer-of-ludd-schedule/" TargetMode="External"/><Relationship Id="rId466" Type="http://schemas.openxmlformats.org/officeDocument/2006/relationships/hyperlink" Target="https://buttondown.com/nycofftech/archive/summer-of-ludd-schedule/" TargetMode="External"/><Relationship Id="rId467" Type="http://schemas.openxmlformats.org/officeDocument/2006/relationships/hyperlink" Target="https://buttondown.com/nycofftech/archive/summer-of-ludd-schedule/" TargetMode="External"/><Relationship Id="rId468" Type="http://schemas.openxmlformats.org/officeDocument/2006/relationships/hyperlink" Target="https://buttondown.com/nycofftech/archive/summer-of-ludd-schedule/" TargetMode="External"/><Relationship Id="rId469" Type="http://schemas.openxmlformats.org/officeDocument/2006/relationships/hyperlink" Target="https://buttondown.com/nycofftech/archive/summer-of-ludd-schedule/" TargetMode="External"/><Relationship Id="rId470" Type="http://schemas.openxmlformats.org/officeDocument/2006/relationships/hyperlink" Target="https://buttondown.com/nycofftech/archive/summer-of-ludd-schedule/" TargetMode="External"/><Relationship Id="rId471" Type="http://schemas.openxmlformats.org/officeDocument/2006/relationships/hyperlink" Target="https://buttondown.com/nycofftech/archive/summer-of-ludd-schedule/" TargetMode="External"/><Relationship Id="rId472" Type="http://schemas.openxmlformats.org/officeDocument/2006/relationships/hyperlink" Target="https://buttondown.com/nycofftech/archive/summer-of-ludd-schedule/" TargetMode="External"/><Relationship Id="rId473" Type="http://schemas.openxmlformats.org/officeDocument/2006/relationships/hyperlink" Target="https://buttondown.com/nycofftech/archive/summer-of-ludd-schedule/" TargetMode="External"/><Relationship Id="rId474" Type="http://schemas.openxmlformats.org/officeDocument/2006/relationships/hyperlink" Target="https://buttondown.com/nycofftech/archive/summer-of-ludd-schedule/" TargetMode="External"/><Relationship Id="rId475" Type="http://schemas.openxmlformats.org/officeDocument/2006/relationships/hyperlink" Target="https://buttondown.com/nycofftech/archive/summer-of-ludd-schedule/" TargetMode="External"/><Relationship Id="rId476" Type="http://schemas.openxmlformats.org/officeDocument/2006/relationships/hyperlink" Target="https://buttondown.com/nycofftech/archive/summer-of-ludd-schedule/" TargetMode="External"/><Relationship Id="rId477" Type="http://schemas.openxmlformats.org/officeDocument/2006/relationships/hyperlink" Target="https://buttondown.com/nycofftech/archive/summer-of-ludd-schedule/" TargetMode="External"/><Relationship Id="rId478" Type="http://schemas.openxmlformats.org/officeDocument/2006/relationships/hyperlink" Target="https://buttondown.com/nycofftech/archive/summer-of-ludd-schedule/" TargetMode="External"/><Relationship Id="rId479" Type="http://schemas.openxmlformats.org/officeDocument/2006/relationships/hyperlink" Target="https://buttondown.com/nycofftech/archive/summer-of-ludd-schedule/" TargetMode="External"/><Relationship Id="rId480" Type="http://schemas.openxmlformats.org/officeDocument/2006/relationships/hyperlink" Target="https://buttondown.com/nycofftech/archive/summer-of-ludd-schedule/" TargetMode="External"/><Relationship Id="rId481" Type="http://schemas.openxmlformats.org/officeDocument/2006/relationships/hyperlink" Target="https://buttondown.com/nycofftech/archive/summer-of-ludd-schedule/" TargetMode="External"/><Relationship Id="rId482" Type="http://schemas.openxmlformats.org/officeDocument/2006/relationships/hyperlink" Target="https://buttondown.com/nycofftech/archive/summer-of-ludd-schedule/" TargetMode="External"/><Relationship Id="rId483" Type="http://schemas.openxmlformats.org/officeDocument/2006/relationships/hyperlink" Target="https://buttondown.com/nycofftech/archive/summer-of-ludd-schedule/" TargetMode="External"/><Relationship Id="rId484" Type="http://schemas.openxmlformats.org/officeDocument/2006/relationships/hyperlink" Target="https://buttondown.com/nycofftech/archive/summer-of-ludd-schedule/" TargetMode="External"/><Relationship Id="rId485" Type="http://schemas.openxmlformats.org/officeDocument/2006/relationships/hyperlink" Target="https://buttondown.com/nycofftech/archive/summer-of-ludd-schedule/" TargetMode="External"/><Relationship Id="rId486" Type="http://schemas.openxmlformats.org/officeDocument/2006/relationships/hyperlink" Target="https://buttondown.com/nycofftech/archive/summer-of-ludd-schedule/" TargetMode="External"/><Relationship Id="rId487" Type="http://schemas.openxmlformats.org/officeDocument/2006/relationships/hyperlink" Target="https://buttondown.com/nycofftech/archive/summer-of-ludd-schedule/" TargetMode="External"/><Relationship Id="rId488" Type="http://schemas.openxmlformats.org/officeDocument/2006/relationships/hyperlink" Target="https://buttondown.com/nycofftech/archive/summer-of-ludd-schedule/" TargetMode="External"/><Relationship Id="rId489" Type="http://schemas.openxmlformats.org/officeDocument/2006/relationships/hyperlink" Target="https://buttondown.com/nycofftech/archive/summer-of-ludd-schedule/" TargetMode="External"/><Relationship Id="rId490" Type="http://schemas.openxmlformats.org/officeDocument/2006/relationships/hyperlink" Target="https://buttondown.com/nycofftech/archive/we-can-have-this-all-summer/" TargetMode="External"/><Relationship Id="rId491" Type="http://schemas.openxmlformats.org/officeDocument/2006/relationships/hyperlink" Target="https://buttondown.com/nycofftech/archive/nyc-off-tech-mid-july-updates/" TargetMode="External"/><Relationship Id="rId492" Type="http://schemas.openxmlformats.org/officeDocument/2006/relationships/hyperlink" Target="https://buttondown.com/nycofftech/archive/nyc-off-tech-mid-july-updates/" TargetMode="External"/><Relationship Id="rId493" Type="http://schemas.openxmlformats.org/officeDocument/2006/relationships/hyperlink" Target="https://buttondown.com/nycofftech/archive/nyc-off-tech-mid-july-updates/" TargetMode="External"/><Relationship Id="rId494" Type="http://schemas.openxmlformats.org/officeDocument/2006/relationships/hyperlink" Target="https://buttondown.com/nycofftech/archive/nyc-off-tech-mid-july-updates/" TargetMode="External"/><Relationship Id="rId495" Type="http://schemas.openxmlformats.org/officeDocument/2006/relationships/hyperlink" Target="https://buttondown.com/nycofftech/archive/nyc-off-tech-mid-july-updates/" TargetMode="External"/><Relationship Id="rId496" Type="http://schemas.openxmlformats.org/officeDocument/2006/relationships/hyperlink" Target="https://buttondown.com/nycofftech/archive/nyc-off-tech-mid-july-updates/" TargetMode="External"/><Relationship Id="rId497" Type="http://schemas.openxmlformats.org/officeDocument/2006/relationships/hyperlink" Target="https://buttondown.com/nycofftech/archive/nyc-off-tech-mid-july-updates/" TargetMode="External"/><Relationship Id="rId498" Type="http://schemas.openxmlformats.org/officeDocument/2006/relationships/hyperlink" Target="https://buttondown.com/nycofftech/archive/nyc-off-tech-mid-july-updates/" TargetMode="External"/><Relationship Id="rId499" Type="http://schemas.openxmlformats.org/officeDocument/2006/relationships/hyperlink" Target="https://buttondown.com/nycofftech/archive/nyc-off-tech-mid-july-updates/" TargetMode="External"/><Relationship Id="rId500" Type="http://schemas.openxmlformats.org/officeDocument/2006/relationships/hyperlink" Target="https://buttondown.com/nycofftech/archive/nyc-off-tech-mid-july-updates/" TargetMode="External"/><Relationship Id="rId501" Type="http://schemas.openxmlformats.org/officeDocument/2006/relationships/hyperlink" Target="https://buttondown.com/nycofftech/archive/nyc-off-tech-mid-july-updates/" TargetMode="External"/><Relationship Id="rId502" Type="http://schemas.openxmlformats.org/officeDocument/2006/relationships/hyperlink" Target="https://buttondown.com/nycofftech/archive/nyc-off-tech-mid-july-updates/" TargetMode="External"/><Relationship Id="rId503" Type="http://schemas.openxmlformats.org/officeDocument/2006/relationships/hyperlink" Target="https://buttondown.com/nycofftech/archive/nyc-off-tech-mid-july-updates/" TargetMode="External"/><Relationship Id="rId504" Type="http://schemas.openxmlformats.org/officeDocument/2006/relationships/hyperlink" Target="https://buttondown.com/nycofftech/archive/nyc-off-tech-mid-july-updates/" TargetMode="External"/><Relationship Id="rId505" Type="http://schemas.openxmlformats.org/officeDocument/2006/relationships/hyperlink" Target="https://buttondown.com/nycofftech/archive/nyc-off-tech-mid-july-updates/" TargetMode="External"/><Relationship Id="rId506" Type="http://schemas.openxmlformats.org/officeDocument/2006/relationships/hyperlink" Target="https://buttondown.com/nycofftech/archive/nyc-off-tech-mid-july-updates/" TargetMode="External"/><Relationship Id="rId507" Type="http://schemas.openxmlformats.org/officeDocument/2006/relationships/hyperlink" Target="https://buttondown.com/nycofftech/archive/nyc-off-tech-mid-july-updates/" TargetMode="External"/><Relationship Id="rId508" Type="http://schemas.openxmlformats.org/officeDocument/2006/relationships/hyperlink" Target="https://buttondown.com/nycofftech/archive/nyc-off-tech-mid-july-updates/" TargetMode="External"/><Relationship Id="rId509" Type="http://schemas.openxmlformats.org/officeDocument/2006/relationships/hyperlink" Target="https://buttondown.com/nycofftech/archive/nyc-off-tech-mid-july-updates/" TargetMode="External"/><Relationship Id="rId510" Type="http://schemas.openxmlformats.org/officeDocument/2006/relationships/hyperlink" Target="https://buttondown.com/nycofftech/archive/nyc-off-tech-mid-july-updates/" TargetMode="External"/><Relationship Id="rId511" Type="http://schemas.openxmlformats.org/officeDocument/2006/relationships/hyperlink" Target="https://buttondown.com/nycofftech/archive/nyc-off-tech-mid-july-updates/" TargetMode="External"/><Relationship Id="rId512" Type="http://schemas.openxmlformats.org/officeDocument/2006/relationships/hyperlink" Target="https://buttondown.com/nycofftech/archive/nyc-off-tech-mid-july-updates/" TargetMode="External"/><Relationship Id="rId513" Type="http://schemas.openxmlformats.org/officeDocument/2006/relationships/hyperlink" Target="https://buttondown.com/nycofftech/archive/nyc-off-tech-mid-july-updates/" TargetMode="External"/><Relationship Id="rId514" Type="http://schemas.openxmlformats.org/officeDocument/2006/relationships/hyperlink" Target="https://buttondown.com/nycofftech/archive/nyc-off-tech-mid-july-updates/" TargetMode="External"/><Relationship Id="rId515" Type="http://schemas.openxmlformats.org/officeDocument/2006/relationships/hyperlink" Target="https://buttondown.com/nycofftech/archive/nyc-off-tech-mid-july-updates/" TargetMode="External"/><Relationship Id="rId516" Type="http://schemas.openxmlformats.org/officeDocument/2006/relationships/hyperlink" Target="https://buttondown.com/nycofftech/archive/nyc-off-tech-mid-july-updates/" TargetMode="External"/><Relationship Id="rId517" Type="http://schemas.openxmlformats.org/officeDocument/2006/relationships/hyperlink" Target="https://buttondown.com/nycofftech/archive/nyc-off-tech-mid-july-updates/" TargetMode="External"/><Relationship Id="rId518" Type="http://schemas.openxmlformats.org/officeDocument/2006/relationships/hyperlink" Target="https://buttondown.com/nycofftech/archive/nyc-off-tech-mid-july-updates/" TargetMode="External"/><Relationship Id="rId519" Type="http://schemas.openxmlformats.org/officeDocument/2006/relationships/hyperlink" Target="https://buttondown.com/nycofftech/archive/nyc-off-tech-mid-july-updates/" TargetMode="External"/><Relationship Id="rId520" Type="http://schemas.openxmlformats.org/officeDocument/2006/relationships/hyperlink" Target="https://buttondown.com/nycofftech/archive/nyc-off-tech-mid-july-updates/" TargetMode="External"/><Relationship Id="rId521" Type="http://schemas.openxmlformats.org/officeDocument/2006/relationships/hyperlink" Target="https://buttondown.com/nycofftech/archive/nyc-off-tech-mid-july-updates/" TargetMode="External"/><Relationship Id="rId522" Type="http://schemas.openxmlformats.org/officeDocument/2006/relationships/hyperlink" Target="https://buttondown.com/nycofftech/archive/nyc-off-tech-mid-july-updates/" TargetMode="External"/><Relationship Id="rId523" Type="http://schemas.openxmlformats.org/officeDocument/2006/relationships/hyperlink" Target="https://buttondown.com/nycofftech/archive/nyc-off-tech-mid-july-updates/" TargetMode="External"/><Relationship Id="rId524" Type="http://schemas.openxmlformats.org/officeDocument/2006/relationships/hyperlink" Target="https://buttondown.com/nycofftech/archive/nyc-off-tech-mid-july-updates/" TargetMode="External"/><Relationship Id="rId525" Type="http://schemas.openxmlformats.org/officeDocument/2006/relationships/hyperlink" Target="https://buttondown.com/nycofftech/archive/nyc-off-tech-mid-july-updates/" TargetMode="External"/><Relationship Id="rId526" Type="http://schemas.openxmlformats.org/officeDocument/2006/relationships/hyperlink" Target="https://buttondown.com/nycofftech/archive/nyc-off-tech-mid-july-updates/" TargetMode="External"/><Relationship Id="rId527" Type="http://schemas.openxmlformats.org/officeDocument/2006/relationships/hyperlink" Target="https://buttondown.com/nycofftech/archive/nyc-off-tech-mid-july-updates/" TargetMode="External"/><Relationship Id="rId528" Type="http://schemas.openxmlformats.org/officeDocument/2006/relationships/hyperlink" Target="https://buttondown.com/nycofftech/archive/nyc-off-tech-mid-july-updates/" TargetMode="External"/><Relationship Id="rId529" Type="http://schemas.openxmlformats.org/officeDocument/2006/relationships/hyperlink" Target="https://buttondown.com/nycofftech/archive/nyc-off-tech-mid-july-updates/" TargetMode="External"/><Relationship Id="rId530" Type="http://schemas.openxmlformats.org/officeDocument/2006/relationships/hyperlink" Target="https://buttondown.com/nycofftech/archive/nyc-off-tech-mid-july-updates/" TargetMode="External"/><Relationship Id="rId531" Type="http://schemas.openxmlformats.org/officeDocument/2006/relationships/hyperlink" Target="https://buttondown.com/nycofftech/archive/nyc-off-tech-mid-july-updates/" TargetMode="External"/><Relationship Id="rId532" Type="http://schemas.openxmlformats.org/officeDocument/2006/relationships/hyperlink" Target="https://buttondown.com/nycofftech/archive/nyc-off-tech-mid-july-updates/" TargetMode="External"/><Relationship Id="rId533" Type="http://schemas.openxmlformats.org/officeDocument/2006/relationships/hyperlink" Target="https://buttondown.com/nycofftech/archive/nyc-off-tech-mid-july-updates/" TargetMode="External"/><Relationship Id="rId534" Type="http://schemas.openxmlformats.org/officeDocument/2006/relationships/hyperlink" Target="https://buttondown.com/nycofftech/archive/nyc-off-tech-mid-july-updates/" TargetMode="External"/><Relationship Id="rId535" Type="http://schemas.openxmlformats.org/officeDocument/2006/relationships/hyperlink" Target="https://buttondown.com/nycofftech/archive/nyc-off-tech-august/" TargetMode="External"/><Relationship Id="rId536" Type="http://schemas.openxmlformats.org/officeDocument/2006/relationships/hyperlink" Target="https://buttondown.com/nycofftech/archive/nyc-off-tech-august/" TargetMode="External"/><Relationship Id="rId537" Type="http://schemas.openxmlformats.org/officeDocument/2006/relationships/hyperlink" Target="https://buttondown.com/nycofftech/archive/nyc-off-tech-august/" TargetMode="External"/><Relationship Id="rId538" Type="http://schemas.openxmlformats.org/officeDocument/2006/relationships/hyperlink" Target="https://buttondown.com/nycofftech/archive/nyc-off-tech-august/" TargetMode="External"/><Relationship Id="rId539" Type="http://schemas.openxmlformats.org/officeDocument/2006/relationships/hyperlink" Target="https://buttondown.com/nycofftech/archive/nyc-off-tech-august/" TargetMode="External"/><Relationship Id="rId540" Type="http://schemas.openxmlformats.org/officeDocument/2006/relationships/hyperlink" Target="https://buttondown.com/nycofftech/archive/nyc-off-tech-august/" TargetMode="External"/><Relationship Id="rId541" Type="http://schemas.openxmlformats.org/officeDocument/2006/relationships/hyperlink" Target="https://buttondown.com/nycofftech/archive/nyc-off-tech-august/" TargetMode="External"/><Relationship Id="rId542" Type="http://schemas.openxmlformats.org/officeDocument/2006/relationships/hyperlink" Target="https://buttondown.com/nycofftech/archive/nyc-off-tech-august/" TargetMode="External"/><Relationship Id="rId543" Type="http://schemas.openxmlformats.org/officeDocument/2006/relationships/hyperlink" Target="https://buttondown.com/nycofftech/archive/nyc-off-tech-august/" TargetMode="External"/><Relationship Id="rId544" Type="http://schemas.openxmlformats.org/officeDocument/2006/relationships/hyperlink" Target="https://buttondown.com/nycofftech/archive/nyc-off-tech-august/" TargetMode="External"/><Relationship Id="rId545" Type="http://schemas.openxmlformats.org/officeDocument/2006/relationships/hyperlink" Target="https://buttondown.com/nycofftech/archive/nyc-off-tech-august/" TargetMode="External"/><Relationship Id="rId546" Type="http://schemas.openxmlformats.org/officeDocument/2006/relationships/hyperlink" Target="https://buttondown.com/nycofftech/archive/nyc-off-tech-august/" TargetMode="External"/><Relationship Id="rId547" Type="http://schemas.openxmlformats.org/officeDocument/2006/relationships/hyperlink" Target="https://buttondown.com/nycofftech/archive/nyc-off-tech-august/" TargetMode="External"/><Relationship Id="rId548" Type="http://schemas.openxmlformats.org/officeDocument/2006/relationships/hyperlink" Target="https://buttondown.com/nycofftech/archive/nyc-off-tech-august/" TargetMode="External"/><Relationship Id="rId549" Type="http://schemas.openxmlformats.org/officeDocument/2006/relationships/hyperlink" Target="https://buttondown.com/nycofftech/archive/nyc-off-tech-august/" TargetMode="External"/><Relationship Id="rId550" Type="http://schemas.openxmlformats.org/officeDocument/2006/relationships/hyperlink" Target="https://buttondown.com/nycofftech/archive/nyc-off-tech-august/" TargetMode="External"/><Relationship Id="rId551" Type="http://schemas.openxmlformats.org/officeDocument/2006/relationships/hyperlink" Target="https://buttondown.com/nycofftech/archive/nyc-off-tech-august/" TargetMode="External"/><Relationship Id="rId552" Type="http://schemas.openxmlformats.org/officeDocument/2006/relationships/hyperlink" Target="https://buttondown.com/nycofftech/archive/nyc-off-tech-august/" TargetMode="External"/><Relationship Id="rId553" Type="http://schemas.openxmlformats.org/officeDocument/2006/relationships/hyperlink" Target="https://buttondown.com/nycofftech/archive/nyc-off-tech-august/" TargetMode="External"/><Relationship Id="rId554" Type="http://schemas.openxmlformats.org/officeDocument/2006/relationships/hyperlink" Target="https://buttondown.com/nycofftech/archive/nyc-off-tech-august/" TargetMode="External"/><Relationship Id="rId555" Type="http://schemas.openxmlformats.org/officeDocument/2006/relationships/hyperlink" Target="https://buttondown.com/nycofftech/archive/nyc-off-tech-august/" TargetMode="External"/><Relationship Id="rId556" Type="http://schemas.openxmlformats.org/officeDocument/2006/relationships/hyperlink" Target="https://buttondown.com/nycofftech/archive/nyc-off-tech-august/" TargetMode="External"/><Relationship Id="rId557" Type="http://schemas.openxmlformats.org/officeDocument/2006/relationships/hyperlink" Target="https://buttondown.com/nycofftech/archive/nyc-off-tech-august/" TargetMode="External"/><Relationship Id="rId558" Type="http://schemas.openxmlformats.org/officeDocument/2006/relationships/hyperlink" Target="https://buttondown.com/nycofftech/archive/nyc-off-tech-august/" TargetMode="External"/><Relationship Id="rId559" Type="http://schemas.openxmlformats.org/officeDocument/2006/relationships/hyperlink" Target="https://buttondown.com/nycofftech/archive/nyc-off-tech-august/" TargetMode="External"/><Relationship Id="rId560" Type="http://schemas.openxmlformats.org/officeDocument/2006/relationships/hyperlink" Target="https://buttondown.com/nycofftech/archive/nyc-off-tech-august/" TargetMode="External"/><Relationship Id="rId561" Type="http://schemas.openxmlformats.org/officeDocument/2006/relationships/hyperlink" Target="https://buttondown.com/nycofftech/archive/nyc-off-tech-august/" TargetMode="External"/><Relationship Id="rId562" Type="http://schemas.openxmlformats.org/officeDocument/2006/relationships/hyperlink" Target="https://buttondown.com/nycofftech/archive/nyc-off-tech-august/" TargetMode="External"/><Relationship Id="rId563" Type="http://schemas.openxmlformats.org/officeDocument/2006/relationships/hyperlink" Target="https://buttondown.com/nycofftech/archive/nyc-off-tech-august/" TargetMode="External"/><Relationship Id="rId564" Type="http://schemas.openxmlformats.org/officeDocument/2006/relationships/hyperlink" Target="https://buttondown.com/nycofftech/archive/nyc-off-tech-august/" TargetMode="External"/><Relationship Id="rId565" Type="http://schemas.openxmlformats.org/officeDocument/2006/relationships/hyperlink" Target="https://buttondown.com/nycofftech/archive/nyc-off-tech-august/" TargetMode="External"/><Relationship Id="rId566" Type="http://schemas.openxmlformats.org/officeDocument/2006/relationships/hyperlink" Target="https://buttondown.com/nycofftech/archive/nyc-off-tech-august/" TargetMode="External"/><Relationship Id="rId567" Type="http://schemas.openxmlformats.org/officeDocument/2006/relationships/hyperlink" Target="https://buttondown.com/nycofftech/archive/nyc-off-tech-august/" TargetMode="External"/><Relationship Id="rId568" Type="http://schemas.openxmlformats.org/officeDocument/2006/relationships/hyperlink" Target="https://buttondown.com/nycofftech/archive/nyc-off-tech-august/" TargetMode="External"/><Relationship Id="rId569" Type="http://schemas.openxmlformats.org/officeDocument/2006/relationships/hyperlink" Target="https://buttondown.com/nycofftech/archive/nyc-off-tech-august/" TargetMode="External"/><Relationship Id="rId570" Type="http://schemas.openxmlformats.org/officeDocument/2006/relationships/hyperlink" Target="https://buttondown.com/nycofftech/archive/nyc-off-tech-mid-august-updates/" TargetMode="External"/><Relationship Id="rId571" Type="http://schemas.openxmlformats.org/officeDocument/2006/relationships/hyperlink" Target="https://buttondown.com/nycofftech/archive/nyc-off-tech-mid-august-updates/" TargetMode="External"/><Relationship Id="rId572" Type="http://schemas.openxmlformats.org/officeDocument/2006/relationships/hyperlink" Target="https://buttondown.com/nycofftech/archive/nyc-off-tech-mid-august-updates/" TargetMode="External"/><Relationship Id="rId573" Type="http://schemas.openxmlformats.org/officeDocument/2006/relationships/hyperlink" Target="https://buttondown.com/nycofftech/archive/nyc-off-tech-mid-august-updates/" TargetMode="External"/><Relationship Id="rId574" Type="http://schemas.openxmlformats.org/officeDocument/2006/relationships/hyperlink" Target="https://buttondown.com/nycofftech/archive/nyc-off-tech-mid-august-updates/" TargetMode="External"/><Relationship Id="rId575" Type="http://schemas.openxmlformats.org/officeDocument/2006/relationships/hyperlink" Target="https://buttondown.com/nycofftech/archive/nyc-off-tech-mid-august-updates/" TargetMode="External"/><Relationship Id="rId576" Type="http://schemas.openxmlformats.org/officeDocument/2006/relationships/hyperlink" Target="https://buttondown.com/nycofftech/archive/nyc-off-tech-mid-august-updates/" TargetMode="External"/><Relationship Id="rId577" Type="http://schemas.openxmlformats.org/officeDocument/2006/relationships/hyperlink" Target="https://buttondown.com/nycofftech/archive/nyc-off-tech-mid-august-updates/" TargetMode="External"/><Relationship Id="rId578" Type="http://schemas.openxmlformats.org/officeDocument/2006/relationships/hyperlink" Target="https://buttondown.com/nycofftech/archive/nyc-off-tech-mid-august-updates/" TargetMode="External"/><Relationship Id="rId579" Type="http://schemas.openxmlformats.org/officeDocument/2006/relationships/hyperlink" Target="https://buttondown.com/nycofftech/archive/nyc-off-tech-mid-august-updates/" TargetMode="External"/><Relationship Id="rId580" Type="http://schemas.openxmlformats.org/officeDocument/2006/relationships/hyperlink" Target="https://buttondown.com/nycofftech/archive/nyc-off-tech-mid-august-updates/" TargetMode="External"/><Relationship Id="rId581" Type="http://schemas.openxmlformats.org/officeDocument/2006/relationships/hyperlink" Target="https://buttondown.com/nycofftech/archive/nyc-off-tech-mid-august-updates/" TargetMode="External"/><Relationship Id="rId582" Type="http://schemas.openxmlformats.org/officeDocument/2006/relationships/hyperlink" Target="https://buttondown.com/nycofftech/archive/nyc-off-tech-mid-august-updates/" TargetMode="External"/><Relationship Id="rId583" Type="http://schemas.openxmlformats.org/officeDocument/2006/relationships/hyperlink" Target="https://buttondown.com/nycofftech/archive/nyc-off-tech-mid-august-updates/" TargetMode="External"/><Relationship Id="rId584" Type="http://schemas.openxmlformats.org/officeDocument/2006/relationships/hyperlink" Target="https://buttondown.com/nycofftech/archive/nyc-off-tech-mid-august-updates/" TargetMode="External"/><Relationship Id="rId585" Type="http://schemas.openxmlformats.org/officeDocument/2006/relationships/hyperlink" Target="https://buttondown.com/nycofftech/archive/nyc-off-tech-mid-august-updates/" TargetMode="External"/><Relationship Id="rId586" Type="http://schemas.openxmlformats.org/officeDocument/2006/relationships/hyperlink" Target="https://buttondown.com/nycofftech/archive/nyc-off-tech-mid-august-updates/" TargetMode="External"/><Relationship Id="rId587" Type="http://schemas.openxmlformats.org/officeDocument/2006/relationships/hyperlink" Target="https://buttondown.com/nycofftech/archive/nyc-off-tech-mid-august-updates/" TargetMode="External"/><Relationship Id="rId588" Type="http://schemas.openxmlformats.org/officeDocument/2006/relationships/hyperlink" Target="https://buttondown.com/nycofftech/archive/nyc-off-tech-mid-august-updates/" TargetMode="External"/><Relationship Id="rId589" Type="http://schemas.openxmlformats.org/officeDocument/2006/relationships/hyperlink" Target="https://buttondown.com/nycofftech/archive/nyc-off-tech-mid-august-updates/" TargetMode="External"/><Relationship Id="rId590" Type="http://schemas.openxmlformats.org/officeDocument/2006/relationships/hyperlink" Target="https://buttondown.com/nycofftech/archive/nyc-off-tech-mid-august-updates/" TargetMode="External"/><Relationship Id="rId591" Type="http://schemas.openxmlformats.org/officeDocument/2006/relationships/hyperlink" Target="https://buttondown.com/nycofftech/archive/nyc-off-tech-mid-august-updates/" TargetMode="External"/><Relationship Id="rId592" Type="http://schemas.openxmlformats.org/officeDocument/2006/relationships/hyperlink" Target="https://buttondown.com/nycofftech/archive/nyc-off-tech-mid-august-updates/" TargetMode="External"/><Relationship Id="rId593" Type="http://schemas.openxmlformats.org/officeDocument/2006/relationships/hyperlink" Target="https://buttondown.com/nycofftech/archive/nyc-off-tech-mid-august-updates/" TargetMode="External"/><Relationship Id="rId594" Type="http://schemas.openxmlformats.org/officeDocument/2006/relationships/hyperlink" Target="https://buttondown.com/nycofftech/archive/nyc-off-tech-mid-august-updates/" TargetMode="External"/><Relationship Id="rId595" Type="http://schemas.openxmlformats.org/officeDocument/2006/relationships/hyperlink" Target="https://buttondown.com/nycofftech/archive/nyc-off-tech-mid-august-updates/" TargetMode="External"/><Relationship Id="rId596" Type="http://schemas.openxmlformats.org/officeDocument/2006/relationships/hyperlink" Target="https://buttondown.com/nycofftech/archive/nyc-off-tech-mid-august-updates/" TargetMode="External"/><Relationship Id="rId597" Type="http://schemas.openxmlformats.org/officeDocument/2006/relationships/hyperlink" Target="https://buttondown.com/nycofftech/archive/nyc-off-tech-mid-august-updates/" TargetMode="External"/><Relationship Id="rId598" Type="http://schemas.openxmlformats.org/officeDocument/2006/relationships/hyperlink" Target="https://buttondown.com/nycofftech/archive/nyc-off-tech-september/" TargetMode="External"/><Relationship Id="rId599" Type="http://schemas.openxmlformats.org/officeDocument/2006/relationships/hyperlink" Target="https://buttondown.com/nycofftech/archive/nyc-off-tech-september/" TargetMode="External"/><Relationship Id="rId600" Type="http://schemas.openxmlformats.org/officeDocument/2006/relationships/hyperlink" Target="https://buttondown.com/nycofftech/archive/nyc-off-tech-september/" TargetMode="External"/><Relationship Id="rId601" Type="http://schemas.openxmlformats.org/officeDocument/2006/relationships/hyperlink" Target="https://buttondown.com/nycofftech/archive/nyc-off-tech-september/" TargetMode="External"/><Relationship Id="rId602" Type="http://schemas.openxmlformats.org/officeDocument/2006/relationships/hyperlink" Target="https://buttondown.com/nycofftech/archive/nyc-off-tech-september/" TargetMode="External"/><Relationship Id="rId603" Type="http://schemas.openxmlformats.org/officeDocument/2006/relationships/hyperlink" Target="https://buttondown.com/nycofftech/archive/nyc-off-tech-september/" TargetMode="External"/><Relationship Id="rId604" Type="http://schemas.openxmlformats.org/officeDocument/2006/relationships/hyperlink" Target="https://buttondown.com/nycofftech/archive/nyc-off-tech-september/" TargetMode="External"/><Relationship Id="rId605" Type="http://schemas.openxmlformats.org/officeDocument/2006/relationships/hyperlink" Target="https://buttondown.com/nycofftech/archive/nyc-off-tech-september/" TargetMode="External"/><Relationship Id="rId606" Type="http://schemas.openxmlformats.org/officeDocument/2006/relationships/hyperlink" Target="https://buttondown.com/nycofftech/archive/nyc-off-tech-september/" TargetMode="External"/><Relationship Id="rId607" Type="http://schemas.openxmlformats.org/officeDocument/2006/relationships/hyperlink" Target="https://buttondown.com/nycofftech/archive/nyc-off-tech-september/" TargetMode="External"/><Relationship Id="rId608" Type="http://schemas.openxmlformats.org/officeDocument/2006/relationships/hyperlink" Target="https://buttondown.com/nycofftech/archive/nyc-off-tech-september/" TargetMode="External"/><Relationship Id="rId609" Type="http://schemas.openxmlformats.org/officeDocument/2006/relationships/hyperlink" Target="https://buttondown.com/nycofftech/archive/nyc-off-tech-september/" TargetMode="External"/><Relationship Id="rId610" Type="http://schemas.openxmlformats.org/officeDocument/2006/relationships/hyperlink" Target="https://buttondown.com/nycofftech/archive/nyc-off-tech-september/" TargetMode="External"/><Relationship Id="rId611" Type="http://schemas.openxmlformats.org/officeDocument/2006/relationships/hyperlink" Target="https://buttondown.com/nycofftech/archive/nyc-off-tech-september/" TargetMode="External"/><Relationship Id="rId612" Type="http://schemas.openxmlformats.org/officeDocument/2006/relationships/hyperlink" Target="https://buttondown.com/nycofftech/archive/nyc-off-tech-september/" TargetMode="External"/><Relationship Id="rId613" Type="http://schemas.openxmlformats.org/officeDocument/2006/relationships/hyperlink" Target="https://buttondown.com/nycofftech/archive/nyc-off-tech-september/" TargetMode="External"/><Relationship Id="rId614" Type="http://schemas.openxmlformats.org/officeDocument/2006/relationships/hyperlink" Target="https://buttondown.com/nycofftech/archive/nyc-off-tech-september/" TargetMode="External"/><Relationship Id="rId615" Type="http://schemas.openxmlformats.org/officeDocument/2006/relationships/hyperlink" Target="https://buttondown.com/nycofftech/archive/nyc-off-tech-september/" TargetMode="External"/><Relationship Id="rId616" Type="http://schemas.openxmlformats.org/officeDocument/2006/relationships/hyperlink" Target="https://buttondown.com/nycofftech/archive/nyc-off-tech-september/" TargetMode="External"/><Relationship Id="rId617" Type="http://schemas.openxmlformats.org/officeDocument/2006/relationships/hyperlink" Target="https://buttondown.com/nycofftech/archive/nyc-off-tech-september/" TargetMode="External"/><Relationship Id="rId618" Type="http://schemas.openxmlformats.org/officeDocument/2006/relationships/hyperlink" Target="https://buttondown.com/nycofftech/archive/nyc-off-tech-september/" TargetMode="External"/><Relationship Id="rId619" Type="http://schemas.openxmlformats.org/officeDocument/2006/relationships/hyperlink" Target="https://buttondown.com/nycofftech/archive/nyc-off-tech-september/" TargetMode="External"/><Relationship Id="rId620" Type="http://schemas.openxmlformats.org/officeDocument/2006/relationships/hyperlink" Target="https://buttondown.com/nycofftech/archive/nyc-off-tech-september/" TargetMode="External"/><Relationship Id="rId621" Type="http://schemas.openxmlformats.org/officeDocument/2006/relationships/hyperlink" Target="https://buttondown.com/nycofftech/archive/nyc-off-tech-september/" TargetMode="External"/><Relationship Id="rId622" Type="http://schemas.openxmlformats.org/officeDocument/2006/relationships/hyperlink" Target="https://buttondown.com/nycofftech/archive/nyc-off-tech-september/" TargetMode="External"/><Relationship Id="rId623" Type="http://schemas.openxmlformats.org/officeDocument/2006/relationships/hyperlink" Target="https://buttondown.com/nycofftech/archive/nyc-off-tech-september/" TargetMode="External"/><Relationship Id="rId624" Type="http://schemas.openxmlformats.org/officeDocument/2006/relationships/hyperlink" Target="https://buttondown.com/nycofftech/archive/nyc-off-tech-september/" TargetMode="External"/><Relationship Id="rId625" Type="http://schemas.openxmlformats.org/officeDocument/2006/relationships/hyperlink" Target="https://buttondown.com/nycofftech/archive/nyc-off-tech-september/" TargetMode="External"/><Relationship Id="rId626" Type="http://schemas.openxmlformats.org/officeDocument/2006/relationships/hyperlink" Target="https://buttondown.com/nycofftech/archive/nyc-off-tech-september/" TargetMode="External"/><Relationship Id="rId627" Type="http://schemas.openxmlformats.org/officeDocument/2006/relationships/hyperlink" Target="https://buttondown.com/nycofftech/archive/nyc-off-tech-september/" TargetMode="External"/><Relationship Id="rId628" Type="http://schemas.openxmlformats.org/officeDocument/2006/relationships/hyperlink" Target="https://buttondown.com/nycofftech/archive/nyc-off-tech-september/" TargetMode="External"/><Relationship Id="rId629" Type="http://schemas.openxmlformats.org/officeDocument/2006/relationships/hyperlink" Target="https://buttondown.com/nycofftech/archive/nyc-off-tech-september/" TargetMode="External"/><Relationship Id="rId630" Type="http://schemas.openxmlformats.org/officeDocument/2006/relationships/hyperlink" Target="https://buttondown.com/nycofftech/archive/nyc-off-tech-september/" TargetMode="External"/><Relationship Id="rId631" Type="http://schemas.openxmlformats.org/officeDocument/2006/relationships/hyperlink" Target="https://buttondown.com/nycofftech/archive/nyc-off-tech-september/" TargetMode="External"/><Relationship Id="rId632" Type="http://schemas.openxmlformats.org/officeDocument/2006/relationships/hyperlink" Target="https://buttondown.com/nycofftech/archive/nyc-off-tech-september/" TargetMode="External"/><Relationship Id="rId633" Type="http://schemas.openxmlformats.org/officeDocument/2006/relationships/hyperlink" Target="https://buttondown.com/nycofftech/archive/nyc-off-tech-september/" TargetMode="External"/><Relationship Id="rId634" Type="http://schemas.openxmlformats.org/officeDocument/2006/relationships/hyperlink" Target="https://buttondown.com/nycofftech/archive/nyc-off-tech-september/" TargetMode="External"/><Relationship Id="rId635" Type="http://schemas.openxmlformats.org/officeDocument/2006/relationships/hyperlink" Target="https://buttondown.com/nycofftech/archive/nyc-off-tech-september/" TargetMode="External"/><Relationship Id="rId636" Type="http://schemas.openxmlformats.org/officeDocument/2006/relationships/hyperlink" Target="https://buttondown.com/nycofftech/archive/nyc-off-tech-september/" TargetMode="External"/><Relationship Id="rId637" Type="http://schemas.openxmlformats.org/officeDocument/2006/relationships/hyperlink" Target="https://buttondown.com/nycofftech/archive/nyc-off-tech-september/" TargetMode="External"/><Relationship Id="rId638" Type="http://schemas.openxmlformats.org/officeDocument/2006/relationships/hyperlink" Target="https://buttondown.com/nycofftech/archive/nyc-off-tech-september/" TargetMode="External"/><Relationship Id="rId639" Type="http://schemas.openxmlformats.org/officeDocument/2006/relationships/hyperlink" Target="https://buttondown.com/nycofftech/archive/nyc-off-tech-september/" TargetMode="External"/><Relationship Id="rId640" Type="http://schemas.openxmlformats.org/officeDocument/2006/relationships/hyperlink" Target="https://buttondown.com/nycofftech/archive/nyc-off-tech-september/" TargetMode="External"/><Relationship Id="rId641" Type="http://schemas.openxmlformats.org/officeDocument/2006/relationships/hyperlink" Target="https://buttondown.com/nycofftech/archive/nyc-off-tech-september/" TargetMode="External"/><Relationship Id="rId642" Type="http://schemas.openxmlformats.org/officeDocument/2006/relationships/hyperlink" Target="https://buttondown.com/nycofftech/archive/nyc-off-tech-mid-september-updates/" TargetMode="External"/><Relationship Id="rId643" Type="http://schemas.openxmlformats.org/officeDocument/2006/relationships/hyperlink" Target="https://buttondown.com/nycofftech/archive/nyc-off-tech-mid-september-updates/" TargetMode="External"/><Relationship Id="rId644" Type="http://schemas.openxmlformats.org/officeDocument/2006/relationships/hyperlink" Target="https://buttondown.com/nycofftech/archive/nyc-off-tech-mid-september-updates/" TargetMode="External"/><Relationship Id="rId645" Type="http://schemas.openxmlformats.org/officeDocument/2006/relationships/hyperlink" Target="https://buttondown.com/nycofftech/archive/nyc-off-tech-mid-september-updates/" TargetMode="External"/><Relationship Id="rId646" Type="http://schemas.openxmlformats.org/officeDocument/2006/relationships/hyperlink" Target="https://buttondown.com/nycofftech/archive/nyc-off-tech-mid-september-updates/" TargetMode="External"/><Relationship Id="rId647" Type="http://schemas.openxmlformats.org/officeDocument/2006/relationships/hyperlink" Target="https://buttondown.com/nycofftech/archive/nyc-off-tech-mid-september-updates/" TargetMode="External"/><Relationship Id="rId648" Type="http://schemas.openxmlformats.org/officeDocument/2006/relationships/hyperlink" Target="https://buttondown.com/nycofftech/archive/nyc-off-tech-mid-september-updates/" TargetMode="External"/><Relationship Id="rId649" Type="http://schemas.openxmlformats.org/officeDocument/2006/relationships/hyperlink" Target="https://buttondown.com/nycofftech/archive/nyc-off-tech-mid-september-updates/" TargetMode="External"/><Relationship Id="rId650" Type="http://schemas.openxmlformats.org/officeDocument/2006/relationships/hyperlink" Target="https://buttondown.com/nycofftech/archive/nyc-off-tech-mid-september-updates/" TargetMode="External"/><Relationship Id="rId651" Type="http://schemas.openxmlformats.org/officeDocument/2006/relationships/hyperlink" Target="https://buttondown.com/nycofftech/archive/nyc-off-tech-mid-september-updates/" TargetMode="External"/><Relationship Id="rId652" Type="http://schemas.openxmlformats.org/officeDocument/2006/relationships/hyperlink" Target="https://buttondown.com/nycofftech/archive/nyc-off-tech-mid-september-updates/" TargetMode="External"/><Relationship Id="rId653" Type="http://schemas.openxmlformats.org/officeDocument/2006/relationships/hyperlink" Target="https://buttondown.com/nycofftech/archive/nyc-off-tech-mid-september-updates/" TargetMode="External"/><Relationship Id="rId654" Type="http://schemas.openxmlformats.org/officeDocument/2006/relationships/hyperlink" Target="https://buttondown.com/nycofftech/archive/nyc-off-tech-mid-september-updates/" TargetMode="External"/><Relationship Id="rId655" Type="http://schemas.openxmlformats.org/officeDocument/2006/relationships/hyperlink" Target="https://buttondown.com/nycofftech/archive/nyc-off-tech-mid-september-updates/" TargetMode="External"/><Relationship Id="rId656" Type="http://schemas.openxmlformats.org/officeDocument/2006/relationships/hyperlink" Target="https://buttondown.com/nycofftech/archive/nyc-off-tech-mid-september-updates/" TargetMode="External"/><Relationship Id="rId657" Type="http://schemas.openxmlformats.org/officeDocument/2006/relationships/hyperlink" Target="https://buttondown.com/nycofftech/archive/nyc-off-tech-mid-september-updates/" TargetMode="External"/><Relationship Id="rId658" Type="http://schemas.openxmlformats.org/officeDocument/2006/relationships/hyperlink" Target="https://buttondown.com/nycofftech/archive/nyc-off-tech-mid-september-updates/" TargetMode="External"/><Relationship Id="rId659" Type="http://schemas.openxmlformats.org/officeDocument/2006/relationships/hyperlink" Target="https://buttondown.com/nycofftech/archive/nyc-off-tech-mid-september-updates/" TargetMode="External"/><Relationship Id="rId660" Type="http://schemas.openxmlformats.org/officeDocument/2006/relationships/hyperlink" Target="https://buttondown.com/nycofftech/archive/nyc-off-tech-mid-september-updates/" TargetMode="External"/><Relationship Id="rId661" Type="http://schemas.openxmlformats.org/officeDocument/2006/relationships/hyperlink" Target="https://buttondown.com/nycofftech/archive/nyc-off-tech-mid-september-updates/" TargetMode="External"/><Relationship Id="rId662" Type="http://schemas.openxmlformats.org/officeDocument/2006/relationships/hyperlink" Target="https://buttondown.com/nycofftech/archive/nyc-off-tech-mid-september-updates/" TargetMode="External"/><Relationship Id="rId663" Type="http://schemas.openxmlformats.org/officeDocument/2006/relationships/hyperlink" Target="https://buttondown.com/nycofftech/archive/nyc-off-tech-mid-september-updates/" TargetMode="External"/><Relationship Id="rId664" Type="http://schemas.openxmlformats.org/officeDocument/2006/relationships/hyperlink" Target="https://buttondown.com/nycofftech/archive/nyc-off-tech-mid-september-updates/" TargetMode="External"/><Relationship Id="rId665" Type="http://schemas.openxmlformats.org/officeDocument/2006/relationships/hyperlink" Target="https://buttondown.com/nycofftech/archive/nyc-off-tech-mid-september-updates/" TargetMode="External"/><Relationship Id="rId666" Type="http://schemas.openxmlformats.org/officeDocument/2006/relationships/hyperlink" Target="https://buttondown.com/nycofftech/archive/nyc-off-tech-mid-september-updates/" TargetMode="External"/><Relationship Id="rId667" Type="http://schemas.openxmlformats.org/officeDocument/2006/relationships/hyperlink" Target="https://buttondown.com/nycofftech/archive/nyc-off-tech-mid-september-updates/" TargetMode="External"/><Relationship Id="rId668" Type="http://schemas.openxmlformats.org/officeDocument/2006/relationships/hyperlink" Target="https://buttondown.com/nycofftech/archive/nyc-off-tech-mid-september-updates/" TargetMode="External"/><Relationship Id="rId669" Type="http://schemas.openxmlformats.org/officeDocument/2006/relationships/hyperlink" Target="https://buttondown.com/nycofftech/archive/nyc-off-tech-mid-september-updates/" TargetMode="External"/><Relationship Id="rId670" Type="http://schemas.openxmlformats.org/officeDocument/2006/relationships/hyperlink" Target="https://buttondown.com/nycofftech/archive/nyc-off-tech-mid-september-updates/" TargetMode="External"/><Relationship Id="rId671" Type="http://schemas.openxmlformats.org/officeDocument/2006/relationships/hyperlink" Target="https://buttondown.com/nycofftech/archive/nyc-off-tech-mid-september-updates/" TargetMode="External"/><Relationship Id="rId672" Type="http://schemas.openxmlformats.org/officeDocument/2006/relationships/hyperlink" Target="https://buttondown.com/nycofftech/archive/nyc-off-tech-mid-september-updates/" TargetMode="External"/><Relationship Id="rId673" Type="http://schemas.openxmlformats.org/officeDocument/2006/relationships/hyperlink" Target="https://buttondown.com/nycofftech/archive/nyc-off-tech-mid-september-updates/" TargetMode="External"/><Relationship Id="rId674" Type="http://schemas.openxmlformats.org/officeDocument/2006/relationships/hyperlink" Target="https://buttondown.com/nycofftech/archive/nyc-off-tech-mid-september-updates/" TargetMode="External"/><Relationship Id="rId675" Type="http://schemas.openxmlformats.org/officeDocument/2006/relationships/hyperlink" Target="https://buttondown.com/nycofftech/archive/nyc-off-tech-mid-september-updates/" TargetMode="External"/><Relationship Id="rId676" Type="http://schemas.openxmlformats.org/officeDocument/2006/relationships/hyperlink" Target="https://buttondown.com/nycofftech/archive/nyc-off-tech-mid-september-updates/" TargetMode="External"/><Relationship Id="rId677" Type="http://schemas.openxmlformats.org/officeDocument/2006/relationships/hyperlink" Target="https://buttondown.com/nycofftech/archive/nyc-off-tech-mid-september-updates/" TargetMode="External"/><Relationship Id="rId678" Type="http://schemas.openxmlformats.org/officeDocument/2006/relationships/hyperlink" Target="https://buttondown.com/nycofftech/archive/nyc-off-tech-mid-september-updates/" TargetMode="External"/><Relationship Id="rId679" Type="http://schemas.openxmlformats.org/officeDocument/2006/relationships/hyperlink" Target="https://buttondown.com/nycofftech/archive/nyc-off-tech-mid-september-updates/" TargetMode="External"/><Relationship Id="rId680" Type="http://schemas.openxmlformats.org/officeDocument/2006/relationships/hyperlink" Target="https://buttondown.com/nycofftech/archive/nyc-off-tech-mid-september-updates/" TargetMode="External"/><Relationship Id="rId681" Type="http://schemas.openxmlformats.org/officeDocument/2006/relationships/hyperlink" Target="https://buttondown.com/nycofftech/archive/nyc-off-tech-mid-september-updates/" TargetMode="External"/><Relationship Id="rId682" Type="http://schemas.openxmlformats.org/officeDocument/2006/relationships/hyperlink" Target="https://buttondown.com/nycofftech/archive/nyc-off-tech-mid-september-updates/" TargetMode="External"/><Relationship Id="rId683" Type="http://schemas.openxmlformats.org/officeDocument/2006/relationships/hyperlink" Target="https://buttondown.com/nycofftech/archive/nyc-off-tech-mid-september-updates/" TargetMode="External"/><Relationship Id="rId684" Type="http://schemas.openxmlformats.org/officeDocument/2006/relationships/hyperlink" Target="https://buttondown.com/nycofftech/archive/nyc-off-tech-mid-september-updates/" TargetMode="External"/><Relationship Id="rId685" Type="http://schemas.openxmlformats.org/officeDocument/2006/relationships/hyperlink" Target="https://buttondown.com/nycofftech/archive/nyc-off-tech-mid-september-updates/" TargetMode="External"/><Relationship Id="rId686" Type="http://schemas.openxmlformats.org/officeDocument/2006/relationships/hyperlink" Target="https://buttondown.com/nycofftech/archive/nyc-off-tech-mid-september-updates/" TargetMode="External"/><Relationship Id="rId687" Type="http://schemas.openxmlformats.org/officeDocument/2006/relationships/hyperlink" Target="https://buttondown.com/nycofftech/archive/nyc-off-tech-mid-september-updates/" TargetMode="External"/><Relationship Id="rId688" Type="http://schemas.openxmlformats.org/officeDocument/2006/relationships/hyperlink" Target="https://buttondown.com/nycofftech/archive/nyc-off-tech-mid-september-updates/" TargetMode="External"/><Relationship Id="rId689" Type="http://schemas.openxmlformats.org/officeDocument/2006/relationships/hyperlink" Target="https://buttondown.com/nycofftech/archive/nyc-off-tech-mid-september-updates/" TargetMode="External"/><Relationship Id="rId690" Type="http://schemas.openxmlformats.org/officeDocument/2006/relationships/hyperlink" Target="https://buttondown.com/nycofftech/archive/nyc-off-tech-mid-september-updates/" TargetMode="External"/><Relationship Id="rId691" Type="http://schemas.openxmlformats.org/officeDocument/2006/relationships/hyperlink" Target="https://buttondown.com/nycofftech/archive/nyc-off-tech-mid-september-updates/" TargetMode="External"/><Relationship Id="rId692" Type="http://schemas.openxmlformats.org/officeDocument/2006/relationships/hyperlink" Target="https://buttondown.com/nycofftech/archive/nyc-off-tech-mid-september-updates/" TargetMode="External"/><Relationship Id="rId693" Type="http://schemas.openxmlformats.org/officeDocument/2006/relationships/hyperlink" Target="https://buttondown.com/nycofftech/archive/nyc-off-tech-mid-september-updates/" TargetMode="External"/><Relationship Id="rId694" Type="http://schemas.openxmlformats.org/officeDocument/2006/relationships/hyperlink" Target="https://buttondown.com/nycofftech/archive/nyc-off-tech-mid-september-updates/" TargetMode="External"/><Relationship Id="rId695" Type="http://schemas.openxmlformats.org/officeDocument/2006/relationships/hyperlink" Target="https://buttondown.com/nycofftech/archive/nyc-off-tech-october-26/" TargetMode="External"/><Relationship Id="rId696" Type="http://schemas.openxmlformats.org/officeDocument/2006/relationships/hyperlink" Target="https://buttondown.com/nycofftech/archive/nyc-off-tech-october-26/" TargetMode="External"/><Relationship Id="rId697" Type="http://schemas.openxmlformats.org/officeDocument/2006/relationships/hyperlink" Target="https://buttondown.com/nycofftech/archive/nyc-off-tech-october-26/" TargetMode="External"/><Relationship Id="rId698" Type="http://schemas.openxmlformats.org/officeDocument/2006/relationships/hyperlink" Target="https://buttondown.com/nycofftech/archive/nyc-off-tech-october-26/" TargetMode="External"/><Relationship Id="rId699" Type="http://schemas.openxmlformats.org/officeDocument/2006/relationships/hyperlink" Target="https://buttondown.com/nycofftech/archive/nyc-off-tech-october-26/" TargetMode="External"/><Relationship Id="rId700" Type="http://schemas.openxmlformats.org/officeDocument/2006/relationships/hyperlink" Target="https://buttondown.com/nycofftech/archive/nyc-off-tech-october-26/" TargetMode="External"/><Relationship Id="rId701" Type="http://schemas.openxmlformats.org/officeDocument/2006/relationships/hyperlink" Target="https://buttondown.com/nycofftech/archive/nyc-off-tech-october-26/" TargetMode="External"/><Relationship Id="rId702" Type="http://schemas.openxmlformats.org/officeDocument/2006/relationships/hyperlink" Target="https://buttondown.com/nycofftech/archive/nyc-off-tech-october-26/" TargetMode="External"/><Relationship Id="rId703" Type="http://schemas.openxmlformats.org/officeDocument/2006/relationships/hyperlink" Target="https://buttondown.com/nycofftech/archive/nyc-off-tech-october-26/" TargetMode="External"/><Relationship Id="rId704" Type="http://schemas.openxmlformats.org/officeDocument/2006/relationships/hyperlink" Target="https://buttondown.com/nycofftech/archive/nyc-off-tech-october-26/" TargetMode="External"/><Relationship Id="rId705" Type="http://schemas.openxmlformats.org/officeDocument/2006/relationships/hyperlink" Target="https://buttondown.com/nycofftech/archive/nyc-off-tech-october-26/" TargetMode="External"/><Relationship Id="rId706" Type="http://schemas.openxmlformats.org/officeDocument/2006/relationships/hyperlink" Target="https://buttondown.com/nycofftech/archive/nyc-off-tech-october-26/" TargetMode="External"/><Relationship Id="rId707" Type="http://schemas.openxmlformats.org/officeDocument/2006/relationships/hyperlink" Target="https://buttondown.com/nycofftech/archive/nyc-off-tech-october-26/" TargetMode="External"/><Relationship Id="rId708" Type="http://schemas.openxmlformats.org/officeDocument/2006/relationships/hyperlink" Target="https://buttondown.com/nycofftech/archive/nyc-off-tech-october-26/" TargetMode="External"/><Relationship Id="rId709" Type="http://schemas.openxmlformats.org/officeDocument/2006/relationships/hyperlink" Target="https://buttondown.com/nycofftech/archive/nyc-off-tech-october-26/" TargetMode="External"/><Relationship Id="rId710" Type="http://schemas.openxmlformats.org/officeDocument/2006/relationships/hyperlink" Target="https://buttondown.com/nycofftech/archive/nyc-off-tech-october-26/" TargetMode="External"/><Relationship Id="rId711" Type="http://schemas.openxmlformats.org/officeDocument/2006/relationships/hyperlink" Target="https://buttondown.com/nycofftech/archive/nyc-off-tech-october-26/" TargetMode="External"/><Relationship Id="rId712" Type="http://schemas.openxmlformats.org/officeDocument/2006/relationships/hyperlink" Target="https://buttondown.com/nycofftech/archive/nyc-off-tech-october-26/" TargetMode="External"/><Relationship Id="rId713" Type="http://schemas.openxmlformats.org/officeDocument/2006/relationships/hyperlink" Target="https://buttondown.com/nycofftech/archive/nyc-off-tech-october-26/" TargetMode="External"/><Relationship Id="rId714" Type="http://schemas.openxmlformats.org/officeDocument/2006/relationships/hyperlink" Target="https://buttondown.com/nycofftech/archive/nyc-off-tech-october-26/" TargetMode="External"/><Relationship Id="rId715" Type="http://schemas.openxmlformats.org/officeDocument/2006/relationships/hyperlink" Target="https://buttondown.com/nycofftech/archive/nyc-off-tech-october-26/" TargetMode="External"/><Relationship Id="rId716" Type="http://schemas.openxmlformats.org/officeDocument/2006/relationships/hyperlink" Target="https://buttondown.com/nycofftech/archive/nyc-off-tech-october-26/" TargetMode="External"/><Relationship Id="rId717" Type="http://schemas.openxmlformats.org/officeDocument/2006/relationships/hyperlink" Target="https://buttondown.com/nycofftech/archive/nyc-off-tech-october-26/" TargetMode="External"/><Relationship Id="rId718" Type="http://schemas.openxmlformats.org/officeDocument/2006/relationships/hyperlink" Target="https://buttondown.com/nycofftech/archive/nyc-off-tech-october-26/" TargetMode="External"/><Relationship Id="rId719" Type="http://schemas.openxmlformats.org/officeDocument/2006/relationships/hyperlink" Target="https://buttondown.com/nycofftech/archive/nyc-off-tech-october-26/" TargetMode="External"/><Relationship Id="rId720" Type="http://schemas.openxmlformats.org/officeDocument/2006/relationships/hyperlink" Target="https://buttondown.com/nycofftech/archive/nyc-off-tech-october-26/" TargetMode="External"/><Relationship Id="rId721" Type="http://schemas.openxmlformats.org/officeDocument/2006/relationships/hyperlink" Target="https://buttondown.com/nycofftech/archive/nyc-off-tech-october-26/" TargetMode="External"/><Relationship Id="rId722" Type="http://schemas.openxmlformats.org/officeDocument/2006/relationships/hyperlink" Target="https://buttondown.com/nycofftech/archive/nyc-off-tech-october-26/" TargetMode="External"/><Relationship Id="rId723" Type="http://schemas.openxmlformats.org/officeDocument/2006/relationships/hyperlink" Target="https://buttondown.com/nycofftech/archive/nyc-off-tech-october-26/" TargetMode="External"/><Relationship Id="rId724" Type="http://schemas.openxmlformats.org/officeDocument/2006/relationships/hyperlink" Target="https://buttondown.com/nycofftech/archive/nyc-off-tech-october-26/" TargetMode="External"/><Relationship Id="rId725" Type="http://schemas.openxmlformats.org/officeDocument/2006/relationships/hyperlink" Target="https://buttondown.com/nycofftech/archive/nyc-off-tech-october-26/" TargetMode="External"/><Relationship Id="rId726" Type="http://schemas.openxmlformats.org/officeDocument/2006/relationships/hyperlink" Target="https://buttondown.com/nycofftech/archive/nyc-off-tech-october-26/" TargetMode="External"/><Relationship Id="rId727" Type="http://schemas.openxmlformats.org/officeDocument/2006/relationships/hyperlink" Target="https://buttondown.com/nycofftech/archive/nyc-off-tech-october-26/" TargetMode="External"/><Relationship Id="rId728" Type="http://schemas.openxmlformats.org/officeDocument/2006/relationships/hyperlink" Target="https://buttondown.com/nycofftech/archive/nyc-off-tech-october-26/" TargetMode="External"/><Relationship Id="rId729" Type="http://schemas.openxmlformats.org/officeDocument/2006/relationships/hyperlink" Target="https://buttondown.com/nycofftech/archive/nyc-off-tech-october-26/" TargetMode="External"/><Relationship Id="rId730" Type="http://schemas.openxmlformats.org/officeDocument/2006/relationships/hyperlink" Target="https://buttondown.com/nycofftech/archive/nyc-off-tech-october-26/" TargetMode="External"/><Relationship Id="rId731" Type="http://schemas.openxmlformats.org/officeDocument/2006/relationships/hyperlink" Target="https://buttondown.com/nycofftech/archive/nyc-off-tech-october-26/" TargetMode="External"/><Relationship Id="rId732" Type="http://schemas.openxmlformats.org/officeDocument/2006/relationships/hyperlink" Target="https://buttondown.com/nycofftech/archive/nyc-off-tech-october-26/" TargetMode="External"/><Relationship Id="rId733" Type="http://schemas.openxmlformats.org/officeDocument/2006/relationships/hyperlink" Target="https://buttondown.com/nycofftech/archive/nyc-off-tech-october-26/" TargetMode="External"/><Relationship Id="rId734" Type="http://schemas.openxmlformats.org/officeDocument/2006/relationships/hyperlink" Target="https://buttondown.com/nycofftech/archive/nyc-off-tech-october-26/" TargetMode="External"/><Relationship Id="rId735" Type="http://schemas.openxmlformats.org/officeDocument/2006/relationships/hyperlink" Target="https://buttondown.com/nycofftech/archive/nyc-off-tech-october-26/" TargetMode="External"/><Relationship Id="rId736" Type="http://schemas.openxmlformats.org/officeDocument/2006/relationships/hyperlink" Target="https://buttondown.com/nycofftech/archive/nyc-off-tech-october-26/" TargetMode="External"/><Relationship Id="rId737" Type="http://schemas.openxmlformats.org/officeDocument/2006/relationships/hyperlink" Target="https://buttondown.com/nycofftech/archive/nyc-off-tech-october-26/" TargetMode="External"/><Relationship Id="rId738" Type="http://schemas.openxmlformats.org/officeDocument/2006/relationships/hyperlink" Target="https://buttondown.com/nycofftech/archive/nyc-off-tech-october-26/" TargetMode="External"/><Relationship Id="rId739" Type="http://schemas.openxmlformats.org/officeDocument/2006/relationships/hyperlink" Target="https://buttondown.com/nycofftech/archive/nyc-off-tech-october-26/" TargetMode="External"/><Relationship Id="rId740" Type="http://schemas.openxmlformats.org/officeDocument/2006/relationships/hyperlink" Target="https://buttondown.com/nycofftech/archive/nyc-off-tech-october-26/" TargetMode="External"/><Relationship Id="rId741" Type="http://schemas.openxmlformats.org/officeDocument/2006/relationships/hyperlink" Target="https://buttondown.com/nycofftech/archive/nyc-off-tech-october-26/" TargetMode="External"/><Relationship Id="rId742" Type="http://schemas.openxmlformats.org/officeDocument/2006/relationships/hyperlink" Target="https://buttondown.com/nycofftech/archive/nyc-off-tech-october-26/" TargetMode="External"/><Relationship Id="rId743" Type="http://schemas.openxmlformats.org/officeDocument/2006/relationships/hyperlink" Target="https://buttondown.com/nycofftech/archive/nyc-off-tech-october-26/" TargetMode="External"/><Relationship Id="rId744" Type="http://schemas.openxmlformats.org/officeDocument/2006/relationships/hyperlink" Target="https://buttondown.com/nycofftech/archive/nyc-off-tech-october-26/" TargetMode="External"/><Relationship Id="rId745" Type="http://schemas.openxmlformats.org/officeDocument/2006/relationships/hyperlink" Target="https://buttondown.com/nycofftech/archive/nyc-off-tech-october-26/" TargetMode="External"/><Relationship Id="rId746" Type="http://schemas.openxmlformats.org/officeDocument/2006/relationships/hyperlink" Target="https://buttondown.com/nycofftech/archive/nyc-off-tech-october-26/" TargetMode="External"/><Relationship Id="rId747" Type="http://schemas.openxmlformats.org/officeDocument/2006/relationships/hyperlink" Target="https://buttondown.com/nycofftech/archive/nyc-off-tech-october-26/" TargetMode="External"/><Relationship Id="rId748" Type="http://schemas.openxmlformats.org/officeDocument/2006/relationships/hyperlink" Target="https://buttondown.com/nycofftech/archive/nyc-off-tech-october-26/" TargetMode="External"/><Relationship Id="rId749" Type="http://schemas.openxmlformats.org/officeDocument/2006/relationships/hyperlink" Target="https://buttondown.com/nycofftech/archive/nyc-off-tech-october-26/" TargetMode="External"/><Relationship Id="rId750" Type="http://schemas.openxmlformats.org/officeDocument/2006/relationships/hyperlink" Target="https://buttondown.com/nycofftech/archive/nyc-off-tech-october-26/" TargetMode="External"/><Relationship Id="rId751" Type="http://schemas.openxmlformats.org/officeDocument/2006/relationships/hyperlink" Target="https://buttondown.com/nycofftech/archive/nyc-off-tech-october-26/" TargetMode="External"/><Relationship Id="rId752" Type="http://schemas.openxmlformats.org/officeDocument/2006/relationships/hyperlink" Target="https://buttondown.com/nycofftech/archive/nyc-off-tech-october-26/" TargetMode="External"/><Relationship Id="rId753" Type="http://schemas.openxmlformats.org/officeDocument/2006/relationships/hyperlink" Target="https://buttondown.com/nycofftech/archive/nyc-off-tech-october-26/" TargetMode="External"/><Relationship Id="rId754" Type="http://schemas.openxmlformats.org/officeDocument/2006/relationships/hyperlink" Target="https://buttondown.com/nycofftech/archive/nyc-off-tech-mid-october-updates-26/" TargetMode="External"/><Relationship Id="rId755" Type="http://schemas.openxmlformats.org/officeDocument/2006/relationships/hyperlink" Target="https://buttondown.com/nycofftech/archive/nyc-off-tech-mid-october-updates-26/" TargetMode="External"/><Relationship Id="rId756" Type="http://schemas.openxmlformats.org/officeDocument/2006/relationships/hyperlink" Target="https://buttondown.com/nycofftech/archive/nyc-off-tech-mid-october-updates-26/" TargetMode="External"/><Relationship Id="rId757" Type="http://schemas.openxmlformats.org/officeDocument/2006/relationships/hyperlink" Target="https://buttondown.com/nycofftech/archive/nyc-off-tech-mid-october-updates-26/" TargetMode="External"/><Relationship Id="rId758" Type="http://schemas.openxmlformats.org/officeDocument/2006/relationships/hyperlink" Target="https://buttondown.com/nycofftech/archive/nyc-off-tech-mid-october-updates-26/" TargetMode="External"/><Relationship Id="rId759" Type="http://schemas.openxmlformats.org/officeDocument/2006/relationships/hyperlink" Target="https://buttondown.com/nycofftech/archive/nyc-off-tech-mid-october-updates-26/" TargetMode="External"/><Relationship Id="rId760" Type="http://schemas.openxmlformats.org/officeDocument/2006/relationships/hyperlink" Target="https://buttondown.com/nycofftech/archive/nyc-off-tech-mid-october-updates-26/" TargetMode="External"/><Relationship Id="rId761" Type="http://schemas.openxmlformats.org/officeDocument/2006/relationships/hyperlink" Target="https://buttondown.com/nycofftech/archive/nyc-off-tech-mid-october-updates-26/" TargetMode="External"/><Relationship Id="rId762" Type="http://schemas.openxmlformats.org/officeDocument/2006/relationships/hyperlink" Target="https://buttondown.com/nycofftech/archive/nyc-off-tech-mid-october-updates-26/" TargetMode="External"/><Relationship Id="rId763" Type="http://schemas.openxmlformats.org/officeDocument/2006/relationships/hyperlink" Target="https://buttondown.com/nycofftech/archive/nyc-off-tech-mid-october-updates-26/" TargetMode="External"/><Relationship Id="rId764" Type="http://schemas.openxmlformats.org/officeDocument/2006/relationships/hyperlink" Target="https://buttondown.com/nycofftech/archive/nyc-off-tech-mid-october-updates-26/" TargetMode="External"/><Relationship Id="rId765" Type="http://schemas.openxmlformats.org/officeDocument/2006/relationships/hyperlink" Target="https://buttondown.com/nycofftech/archive/nyc-off-tech-mid-october-updates-26/" TargetMode="External"/><Relationship Id="rId766" Type="http://schemas.openxmlformats.org/officeDocument/2006/relationships/hyperlink" Target="https://buttondown.com/nycofftech/archive/nyc-off-tech-mid-october-updates-26/" TargetMode="External"/><Relationship Id="rId767" Type="http://schemas.openxmlformats.org/officeDocument/2006/relationships/hyperlink" Target="https://buttondown.com/nycofftech/archive/nyc-off-tech-mid-october-updates-26/" TargetMode="External"/><Relationship Id="rId768" Type="http://schemas.openxmlformats.org/officeDocument/2006/relationships/hyperlink" Target="https://buttondown.com/nycofftech/archive/nyc-off-tech-mid-october-updates-26/" TargetMode="External"/><Relationship Id="rId769" Type="http://schemas.openxmlformats.org/officeDocument/2006/relationships/hyperlink" Target="https://buttondown.com/nycofftech/archive/nyc-off-tech-mid-october-updates-26/" TargetMode="External"/><Relationship Id="rId770" Type="http://schemas.openxmlformats.org/officeDocument/2006/relationships/hyperlink" Target="https://buttondown.com/nycofftech/archive/nyc-off-tech-mid-october-updates-26/" TargetMode="External"/><Relationship Id="rId771" Type="http://schemas.openxmlformats.org/officeDocument/2006/relationships/hyperlink" Target="https://buttondown.com/nycofftech/archive/nyc-off-tech-mid-october-updates-26/" TargetMode="External"/><Relationship Id="rId772" Type="http://schemas.openxmlformats.org/officeDocument/2006/relationships/hyperlink" Target="https://buttondown.com/nycofftech/archive/nyc-off-tech-mid-october-updates-26/" TargetMode="External"/><Relationship Id="rId773" Type="http://schemas.openxmlformats.org/officeDocument/2006/relationships/hyperlink" Target="https://buttondown.com/nycofftech/archive/nyc-off-tech-mid-october-updates-26/" TargetMode="External"/><Relationship Id="rId774" Type="http://schemas.openxmlformats.org/officeDocument/2006/relationships/hyperlink" Target="https://buttondown.com/nycofftech/archive/nyc-off-tech-mid-october-updates-26/" TargetMode="External"/><Relationship Id="rId775" Type="http://schemas.openxmlformats.org/officeDocument/2006/relationships/hyperlink" Target="https://buttondown.com/nycofftech/archive/nyc-off-tech-mid-october-updates-26/" TargetMode="External"/><Relationship Id="rId776" Type="http://schemas.openxmlformats.org/officeDocument/2006/relationships/hyperlink" Target="https://buttondown.com/nycofftech/archive/nyc-off-tech-mid-october-updates-26/" TargetMode="External"/><Relationship Id="rId777" Type="http://schemas.openxmlformats.org/officeDocument/2006/relationships/hyperlink" Target="https://buttondown.com/nycofftech/archive/nyc-off-tech-mid-october-updates-26/" TargetMode="External"/><Relationship Id="rId778" Type="http://schemas.openxmlformats.org/officeDocument/2006/relationships/hyperlink" Target="https://buttondown.com/nycofftech/archive/nyc-off-tech-mid-october-updates-26/" TargetMode="External"/><Relationship Id="rId779" Type="http://schemas.openxmlformats.org/officeDocument/2006/relationships/hyperlink" Target="https://buttondown.com/nycofftech/archive/nyc-off-tech-mid-october-updates-26/" TargetMode="External"/><Relationship Id="rId780" Type="http://schemas.openxmlformats.org/officeDocument/2006/relationships/hyperlink" Target="https://buttondown.com/nycofftech/archive/nyc-off-tech-mid-october-updates-26/" TargetMode="External"/><Relationship Id="rId781" Type="http://schemas.openxmlformats.org/officeDocument/2006/relationships/hyperlink" Target="https://buttondown.com/nycofftech/archive/nyc-off-tech-mid-october-updates-26/" TargetMode="External"/><Relationship Id="rId782" Type="http://schemas.openxmlformats.org/officeDocument/2006/relationships/hyperlink" Target="https://buttondown.com/nycofftech/archive/nyc-off-tech-mid-october-updates-26/" TargetMode="External"/><Relationship Id="rId783" Type="http://schemas.openxmlformats.org/officeDocument/2006/relationships/hyperlink" Target="https://buttondown.com/nycofftech/archive/nyc-off-tech-mid-october-updates-26/" TargetMode="External"/><Relationship Id="rId784" Type="http://schemas.openxmlformats.org/officeDocument/2006/relationships/hyperlink" Target="https://buttondown.com/nycofftech/archive/nyc-off-tech-mid-october-updates-26/" TargetMode="External"/><Relationship Id="rId785" Type="http://schemas.openxmlformats.org/officeDocument/2006/relationships/hyperlink" Target="https://buttondown.com/nycofftech/archive/nyc-off-tech-mid-october-updates-26/" TargetMode="External"/><Relationship Id="rId786" Type="http://schemas.openxmlformats.org/officeDocument/2006/relationships/hyperlink" Target="https://buttondown.com/nycofftech/archive/nyc-off-tech-mid-october-updates-26/" TargetMode="External"/><Relationship Id="rId787" Type="http://schemas.openxmlformats.org/officeDocument/2006/relationships/hyperlink" Target="https://buttondown.com/nycofftech/archive/nyc-off-tech-mid-october-updates-26/" TargetMode="External"/><Relationship Id="rId788" Type="http://schemas.openxmlformats.org/officeDocument/2006/relationships/hyperlink" Target="https://buttondown.com/nycofftech/archive/nyc-off-tech-mid-october-updates-26/" TargetMode="External"/><Relationship Id="rId789" Type="http://schemas.openxmlformats.org/officeDocument/2006/relationships/hyperlink" Target="https://buttondown.com/nycofftech/archive/nyc-off-tech-mid-october-updates-26/" TargetMode="External"/><Relationship Id="rId790" Type="http://schemas.openxmlformats.org/officeDocument/2006/relationships/hyperlink" Target="https://buttondown.com/nycofftech/archive/nyc-off-tech-mid-october-updates-26/" TargetMode="External"/><Relationship Id="rId791" Type="http://schemas.openxmlformats.org/officeDocument/2006/relationships/hyperlink" Target="https://buttondown.com/nycofftech/archive/nyc-off-tech-mid-october-updates-26/" TargetMode="External"/><Relationship Id="rId792" Type="http://schemas.openxmlformats.org/officeDocument/2006/relationships/hyperlink" Target="https://buttondown.com/nycofftech/archive/nyc-off-tech-mid-october-updates-26/" TargetMode="External"/><Relationship Id="rId793" Type="http://schemas.openxmlformats.org/officeDocument/2006/relationships/hyperlink" Target="https://buttondown.com/nycofftech/archive/nyc-off-tech-mid-october-updates-26/" TargetMode="External"/><Relationship Id="rId794" Type="http://schemas.openxmlformats.org/officeDocument/2006/relationships/hyperlink" Target="https://buttondown.com/nycofftech/archive/nyc-off-tech-mid-october-updates-26/" TargetMode="External"/><Relationship Id="rId795" Type="http://schemas.openxmlformats.org/officeDocument/2006/relationships/hyperlink" Target="https://buttondown.com/nycofftech/archive/nyc-off-tech-mid-october-updates-26/" TargetMode="External"/><Relationship Id="rId796" Type="http://schemas.openxmlformats.org/officeDocument/2006/relationships/hyperlink" Target="https://buttondown.com/nycofftech/archive/nyc-off-tech-mid-october-updates-26/" TargetMode="External"/><Relationship Id="rId797"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26"/>
    <col collapsed="false" customWidth="true" hidden="false" outlineLevel="0" max="4" min="4" style="0" width="34"/>
    <col collapsed="false" customWidth="true" hidden="false" outlineLevel="0" max="5" min="5" style="0" width="13"/>
    <col collapsed="false" customWidth="true" hidden="false" outlineLevel="0" max="6" min="6" style="0" width="11"/>
    <col collapsed="false" customWidth="true" hidden="false" outlineLevel="0" max="9" min="7" style="0" width="13"/>
    <col collapsed="false" customWidth="true" hidden="false" outlineLevel="0" max="10" min="10" style="0" width="46"/>
    <col collapsed="false" customWidth="true" hidden="false" outlineLevel="0" max="11" min="11" style="0" width="40"/>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4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15" hidden="false" customHeight="false" outlineLevel="0" collapsed="false">
      <c r="A5" s="4" t="n">
        <v>1</v>
      </c>
      <c r="B5" s="4" t="s">
        <v>14</v>
      </c>
      <c r="C5" s="4" t="s">
        <v>15</v>
      </c>
      <c r="D5" s="4" t="s">
        <v>16</v>
      </c>
      <c r="E5" s="4" t="n">
        <f aca="false">COUNTIF('Reference Log'!$E$2:$E$797,B5)</f>
        <v>106</v>
      </c>
      <c r="F5" s="4" t="n">
        <f aca="false">SUMIFS('Reference Log'!$J$2:$J$797,'Reference Log'!$E$2:$E$797,B5)</f>
        <v>18</v>
      </c>
      <c r="G5" s="5" t="n">
        <f aca="false">_xlfn.MINIFS('Reference Log'!$A$2:$A$797,'Reference Log'!$E$2:$E$797,B5)</f>
        <v>45932</v>
      </c>
      <c r="H5" s="5" t="n">
        <f aca="false">_xlfn.MAXIFS('Reference Log'!$A$2:$A$797,'Reference Log'!$E$2:$E$797,B5)</f>
        <v>46311</v>
      </c>
      <c r="I5" s="5" t="n">
        <f aca="false">_xlfn.MAXIFS('Reference Log'!$D$2:$D$797,'Reference Log'!$E$2:$E$797,B5)</f>
        <v>46326</v>
      </c>
      <c r="J5" s="4" t="s">
        <v>17</v>
      </c>
      <c r="K5" s="4" t="s">
        <v>18</v>
      </c>
      <c r="L5" s="4" t="s">
        <v>19</v>
      </c>
    </row>
    <row r="6" customFormat="false" ht="15" hidden="false" customHeight="false" outlineLevel="0" collapsed="false">
      <c r="A6" s="4" t="n">
        <v>2</v>
      </c>
      <c r="B6" s="4" t="s">
        <v>20</v>
      </c>
      <c r="C6" s="4" t="s">
        <v>21</v>
      </c>
      <c r="D6" s="4" t="s">
        <v>22</v>
      </c>
      <c r="E6" s="4" t="n">
        <f aca="false">COUNTIF('Reference Log'!$E$2:$E$797,B6)</f>
        <v>67</v>
      </c>
      <c r="F6" s="4" t="n">
        <f aca="false">SUMIFS('Reference Log'!$J$2:$J$797,'Reference Log'!$E$2:$E$797,B6)</f>
        <v>24</v>
      </c>
      <c r="G6" s="5" t="n">
        <f aca="false">_xlfn.MINIFS('Reference Log'!$A$2:$A$797,'Reference Log'!$E$2:$E$797,B6)</f>
        <v>45932</v>
      </c>
      <c r="H6" s="5" t="n">
        <f aca="false">_xlfn.MAXIFS('Reference Log'!$A$2:$A$797,'Reference Log'!$E$2:$E$797,B6)</f>
        <v>46311</v>
      </c>
      <c r="I6" s="5" t="n">
        <f aca="false">_xlfn.MAXIFS('Reference Log'!$D$2:$D$797,'Reference Log'!$E$2:$E$797,B6)</f>
        <v>46325</v>
      </c>
      <c r="J6" s="4" t="s">
        <v>23</v>
      </c>
      <c r="K6" s="4" t="s">
        <v>24</v>
      </c>
      <c r="L6" s="4" t="s">
        <v>25</v>
      </c>
    </row>
    <row r="7" customFormat="false" ht="15" hidden="false" customHeight="false" outlineLevel="0" collapsed="false">
      <c r="A7" s="4" t="n">
        <v>3</v>
      </c>
      <c r="B7" s="4" t="s">
        <v>26</v>
      </c>
      <c r="C7" s="4" t="s">
        <v>27</v>
      </c>
      <c r="D7" s="4" t="s">
        <v>28</v>
      </c>
      <c r="E7" s="4" t="n">
        <f aca="false">COUNTIF('Reference Log'!$E$2:$E$797,B7)</f>
        <v>44</v>
      </c>
      <c r="F7" s="4" t="n">
        <f aca="false">SUMIFS('Reference Log'!$J$2:$J$797,'Reference Log'!$E$2:$E$797,B7)</f>
        <v>24</v>
      </c>
      <c r="G7" s="5" t="n">
        <f aca="false">_xlfn.MINIFS('Reference Log'!$A$2:$A$797,'Reference Log'!$E$2:$E$797,B7)</f>
        <v>45932</v>
      </c>
      <c r="H7" s="5" t="n">
        <f aca="false">_xlfn.MAXIFS('Reference Log'!$A$2:$A$797,'Reference Log'!$E$2:$E$797,B7)</f>
        <v>46311</v>
      </c>
      <c r="I7" s="5" t="n">
        <f aca="false">_xlfn.MAXIFS('Reference Log'!$D$2:$D$797,'Reference Log'!$E$2:$E$797,B7)</f>
        <v>46325</v>
      </c>
      <c r="J7" s="4" t="s">
        <v>29</v>
      </c>
      <c r="K7" s="4" t="s">
        <v>30</v>
      </c>
      <c r="L7" s="4" t="s">
        <v>31</v>
      </c>
    </row>
    <row r="8" customFormat="false" ht="15" hidden="false" customHeight="false" outlineLevel="0" collapsed="false">
      <c r="A8" s="6" t="n">
        <v>4</v>
      </c>
      <c r="B8" s="6" t="s">
        <v>32</v>
      </c>
      <c r="C8" s="6" t="s">
        <v>33</v>
      </c>
      <c r="D8" s="6" t="s">
        <v>34</v>
      </c>
      <c r="E8" s="6" t="n">
        <f aca="false">COUNTIF('Reference Log'!$E$2:$E$797,B8)</f>
        <v>31</v>
      </c>
      <c r="F8" s="6" t="n">
        <f aca="false">SUMIFS('Reference Log'!$J$2:$J$797,'Reference Log'!$E$2:$E$797,B8)</f>
        <v>16</v>
      </c>
      <c r="G8" s="7" t="n">
        <f aca="false">_xlfn.MINIFS('Reference Log'!$A$2:$A$797,'Reference Log'!$E$2:$E$797,B8)</f>
        <v>45932</v>
      </c>
      <c r="H8" s="7" t="n">
        <f aca="false">_xlfn.MAXIFS('Reference Log'!$A$2:$A$797,'Reference Log'!$E$2:$E$797,B8)</f>
        <v>46311</v>
      </c>
      <c r="I8" s="7" t="n">
        <f aca="false">_xlfn.MAXIFS('Reference Log'!$D$2:$D$797,'Reference Log'!$E$2:$E$797,B8)</f>
        <v>46324</v>
      </c>
      <c r="J8" s="6" t="s">
        <v>35</v>
      </c>
      <c r="K8" s="6" t="s">
        <v>36</v>
      </c>
      <c r="L8" s="6" t="s">
        <v>37</v>
      </c>
    </row>
    <row r="9" customFormat="false" ht="15" hidden="false" customHeight="false" outlineLevel="0" collapsed="false">
      <c r="A9" s="4" t="n">
        <v>5</v>
      </c>
      <c r="B9" s="4" t="s">
        <v>38</v>
      </c>
      <c r="C9" s="4" t="s">
        <v>15</v>
      </c>
      <c r="D9" s="4" t="s">
        <v>39</v>
      </c>
      <c r="E9" s="4" t="n">
        <f aca="false">COUNTIF('Reference Log'!$E$2:$E$797,B9)</f>
        <v>31</v>
      </c>
      <c r="F9" s="4" t="n">
        <f aca="false">SUMIFS('Reference Log'!$J$2:$J$797,'Reference Log'!$E$2:$E$797,B9)</f>
        <v>14</v>
      </c>
      <c r="G9" s="5" t="n">
        <f aca="false">_xlfn.MINIFS('Reference Log'!$A$2:$A$797,'Reference Log'!$E$2:$E$797,B9)</f>
        <v>45932</v>
      </c>
      <c r="H9" s="5" t="n">
        <f aca="false">_xlfn.MAXIFS('Reference Log'!$A$2:$A$797,'Reference Log'!$E$2:$E$797,B9)</f>
        <v>46311</v>
      </c>
      <c r="I9" s="5" t="n">
        <f aca="false">_xlfn.MAXIFS('Reference Log'!$D$2:$D$797,'Reference Log'!$E$2:$E$797,B9)</f>
        <v>46333</v>
      </c>
      <c r="J9" s="4" t="s">
        <v>40</v>
      </c>
      <c r="K9" s="4" t="s">
        <v>41</v>
      </c>
      <c r="L9" s="4" t="s">
        <v>42</v>
      </c>
    </row>
    <row r="10" customFormat="false" ht="15" hidden="false" customHeight="false" outlineLevel="0" collapsed="false">
      <c r="A10" s="4" t="n">
        <v>6</v>
      </c>
      <c r="B10" s="4" t="s">
        <v>43</v>
      </c>
      <c r="C10" s="4" t="s">
        <v>44</v>
      </c>
      <c r="D10" s="4" t="s">
        <v>45</v>
      </c>
      <c r="E10" s="4" t="n">
        <f aca="false">COUNTIF('Reference Log'!$E$2:$E$797,B10)</f>
        <v>24</v>
      </c>
      <c r="F10" s="4" t="n">
        <f aca="false">SUMIFS('Reference Log'!$J$2:$J$797,'Reference Log'!$E$2:$E$797,B10)</f>
        <v>12</v>
      </c>
      <c r="G10" s="5" t="n">
        <f aca="false">_xlfn.MINIFS('Reference Log'!$A$2:$A$797,'Reference Log'!$E$2:$E$797,B10)</f>
        <v>46083</v>
      </c>
      <c r="H10" s="5" t="n">
        <f aca="false">_xlfn.MAXIFS('Reference Log'!$A$2:$A$797,'Reference Log'!$E$2:$E$797,B10)</f>
        <v>46296</v>
      </c>
      <c r="I10" s="5" t="n">
        <f aca="false">_xlfn.MAXIFS('Reference Log'!$D$2:$D$797,'Reference Log'!$E$2:$E$797,B10)</f>
        <v>46299</v>
      </c>
      <c r="J10" s="4" t="s">
        <v>46</v>
      </c>
      <c r="K10" s="4" t="s">
        <v>18</v>
      </c>
      <c r="L10" s="4" t="s">
        <v>47</v>
      </c>
    </row>
    <row r="11" customFormat="false" ht="15" hidden="false" customHeight="false" outlineLevel="0" collapsed="false">
      <c r="A11" s="6" t="n">
        <v>7</v>
      </c>
      <c r="B11" s="6" t="s">
        <v>48</v>
      </c>
      <c r="C11" s="6" t="s">
        <v>33</v>
      </c>
      <c r="D11" s="6" t="s">
        <v>49</v>
      </c>
      <c r="E11" s="6" t="n">
        <f aca="false">COUNTIF('Reference Log'!$E$2:$E$797,B11)</f>
        <v>23</v>
      </c>
      <c r="F11" s="6" t="n">
        <f aca="false">SUMIFS('Reference Log'!$J$2:$J$797,'Reference Log'!$E$2:$E$797,B11)</f>
        <v>17</v>
      </c>
      <c r="G11" s="7" t="n">
        <f aca="false">_xlfn.MINIFS('Reference Log'!$A$2:$A$797,'Reference Log'!$E$2:$E$797,B11)</f>
        <v>45962</v>
      </c>
      <c r="H11" s="7" t="n">
        <f aca="false">_xlfn.MAXIFS('Reference Log'!$A$2:$A$797,'Reference Log'!$E$2:$E$797,B11)</f>
        <v>46311</v>
      </c>
      <c r="I11" s="7" t="n">
        <f aca="false">_xlfn.MAXIFS('Reference Log'!$D$2:$D$797,'Reference Log'!$E$2:$E$797,B11)</f>
        <v>46327</v>
      </c>
      <c r="J11" s="6" t="s">
        <v>50</v>
      </c>
      <c r="K11" s="6" t="s">
        <v>51</v>
      </c>
      <c r="L11" s="6" t="s">
        <v>52</v>
      </c>
    </row>
    <row r="12" customFormat="false" ht="15" hidden="false" customHeight="false" outlineLevel="0" collapsed="false">
      <c r="A12" s="4" t="n">
        <v>8</v>
      </c>
      <c r="B12" s="4" t="s">
        <v>53</v>
      </c>
      <c r="C12" s="4" t="s">
        <v>15</v>
      </c>
      <c r="D12" s="4" t="s">
        <v>54</v>
      </c>
      <c r="E12" s="4" t="n">
        <f aca="false">COUNTIF('Reference Log'!$E$2:$E$797,B12)</f>
        <v>22</v>
      </c>
      <c r="F12" s="4" t="n">
        <f aca="false">SUMIFS('Reference Log'!$J$2:$J$797,'Reference Log'!$E$2:$E$797,B12)</f>
        <v>17</v>
      </c>
      <c r="G12" s="5" t="n">
        <f aca="false">_xlfn.MINIFS('Reference Log'!$A$2:$A$797,'Reference Log'!$E$2:$E$797,B12)</f>
        <v>45932</v>
      </c>
      <c r="H12" s="5" t="n">
        <f aca="false">_xlfn.MAXIFS('Reference Log'!$A$2:$A$797,'Reference Log'!$E$2:$E$797,B12)</f>
        <v>46279</v>
      </c>
      <c r="I12" s="5" t="n">
        <f aca="false">_xlfn.MAXIFS('Reference Log'!$D$2:$D$797,'Reference Log'!$E$2:$E$797,B12)</f>
        <v>46291</v>
      </c>
      <c r="J12" s="4" t="s">
        <v>55</v>
      </c>
      <c r="K12" s="4" t="s">
        <v>56</v>
      </c>
      <c r="L12" s="4" t="s">
        <v>57</v>
      </c>
    </row>
    <row r="13" customFormat="false" ht="15" hidden="false" customHeight="false" outlineLevel="0" collapsed="false">
      <c r="A13" s="4" t="n">
        <v>9</v>
      </c>
      <c r="B13" s="4" t="s">
        <v>58</v>
      </c>
      <c r="C13" s="4" t="s">
        <v>21</v>
      </c>
      <c r="D13" s="4" t="s">
        <v>39</v>
      </c>
      <c r="E13" s="4" t="n">
        <f aca="false">COUNTIF('Reference Log'!$E$2:$E$797,B13)</f>
        <v>22</v>
      </c>
      <c r="F13" s="4" t="n">
        <f aca="false">SUMIFS('Reference Log'!$J$2:$J$797,'Reference Log'!$E$2:$E$797,B13)</f>
        <v>16</v>
      </c>
      <c r="G13" s="5" t="n">
        <f aca="false">_xlfn.MINIFS('Reference Log'!$A$2:$A$797,'Reference Log'!$E$2:$E$797,B13)</f>
        <v>45975</v>
      </c>
      <c r="H13" s="5" t="n">
        <f aca="false">_xlfn.MAXIFS('Reference Log'!$A$2:$A$797,'Reference Log'!$E$2:$E$797,B13)</f>
        <v>46235</v>
      </c>
      <c r="I13" s="5" t="n">
        <f aca="false">_xlfn.MAXIFS('Reference Log'!$D$2:$D$797,'Reference Log'!$E$2:$E$797,B13)</f>
        <v>46244</v>
      </c>
      <c r="J13" s="4" t="s">
        <v>59</v>
      </c>
      <c r="K13" s="4" t="s">
        <v>60</v>
      </c>
      <c r="L13" s="4" t="s">
        <v>61</v>
      </c>
    </row>
    <row r="14" customFormat="false" ht="15" hidden="false" customHeight="false" outlineLevel="0" collapsed="false">
      <c r="A14" s="4" t="n">
        <v>10</v>
      </c>
      <c r="B14" s="4" t="s">
        <v>62</v>
      </c>
      <c r="C14" s="4" t="s">
        <v>15</v>
      </c>
      <c r="D14" s="4" t="s">
        <v>63</v>
      </c>
      <c r="E14" s="4" t="n">
        <f aca="false">COUNTIF('Reference Log'!$E$2:$E$797,B14)</f>
        <v>19</v>
      </c>
      <c r="F14" s="4" t="n">
        <f aca="false">SUMIFS('Reference Log'!$J$2:$J$797,'Reference Log'!$E$2:$E$797,B14)</f>
        <v>10</v>
      </c>
      <c r="G14" s="5" t="n">
        <f aca="false">_xlfn.MINIFS('Reference Log'!$A$2:$A$797,'Reference Log'!$E$2:$E$797,B14)</f>
        <v>45932</v>
      </c>
      <c r="H14" s="5" t="n">
        <f aca="false">_xlfn.MAXIFS('Reference Log'!$A$2:$A$797,'Reference Log'!$E$2:$E$797,B14)</f>
        <v>46311</v>
      </c>
      <c r="I14" s="5" t="n">
        <f aca="false">_xlfn.MAXIFS('Reference Log'!$D$2:$D$797,'Reference Log'!$E$2:$E$797,B14)</f>
        <v>46321</v>
      </c>
      <c r="J14" s="4" t="s">
        <v>64</v>
      </c>
      <c r="K14" s="4" t="s">
        <v>41</v>
      </c>
      <c r="L14" s="4" t="s">
        <v>65</v>
      </c>
    </row>
    <row r="15" customFormat="false" ht="15" hidden="false" customHeight="false" outlineLevel="0" collapsed="false">
      <c r="A15" s="6" t="n">
        <v>11</v>
      </c>
      <c r="B15" s="6" t="s">
        <v>66</v>
      </c>
      <c r="C15" s="6" t="s">
        <v>33</v>
      </c>
      <c r="D15" s="6" t="s">
        <v>67</v>
      </c>
      <c r="E15" s="6" t="n">
        <f aca="false">COUNTIF('Reference Log'!$E$2:$E$797,B15)</f>
        <v>17</v>
      </c>
      <c r="F15" s="6" t="n">
        <f aca="false">SUMIFS('Reference Log'!$J$2:$J$797,'Reference Log'!$E$2:$E$797,B15)</f>
        <v>17</v>
      </c>
      <c r="G15" s="7" t="n">
        <f aca="false">_xlfn.MINIFS('Reference Log'!$A$2:$A$797,'Reference Log'!$E$2:$E$797,B15)</f>
        <v>46004</v>
      </c>
      <c r="H15" s="7" t="n">
        <f aca="false">_xlfn.MAXIFS('Reference Log'!$A$2:$A$797,'Reference Log'!$E$2:$E$797,B15)</f>
        <v>46311</v>
      </c>
      <c r="I15" s="7" t="n">
        <f aca="false">_xlfn.MAXIFS('Reference Log'!$D$2:$D$797,'Reference Log'!$E$2:$E$797,B15)</f>
        <v>46323</v>
      </c>
      <c r="J15" s="6" t="s">
        <v>68</v>
      </c>
      <c r="K15" s="6" t="s">
        <v>69</v>
      </c>
      <c r="L15" s="6" t="s">
        <v>70</v>
      </c>
    </row>
    <row r="16" customFormat="false" ht="15" hidden="false" customHeight="false" outlineLevel="0" collapsed="false">
      <c r="A16" s="4" t="n">
        <v>12</v>
      </c>
      <c r="B16" s="4" t="s">
        <v>71</v>
      </c>
      <c r="C16" s="4" t="s">
        <v>27</v>
      </c>
      <c r="D16" s="4" t="s">
        <v>72</v>
      </c>
      <c r="E16" s="4" t="n">
        <f aca="false">COUNTIF('Reference Log'!$E$2:$E$797,B16)</f>
        <v>14</v>
      </c>
      <c r="F16" s="4" t="n">
        <f aca="false">SUMIFS('Reference Log'!$J$2:$J$797,'Reference Log'!$E$2:$E$797,B16)</f>
        <v>11</v>
      </c>
      <c r="G16" s="5" t="n">
        <f aca="false">_xlfn.MINIFS('Reference Log'!$A$2:$A$797,'Reference Log'!$E$2:$E$797,B16)</f>
        <v>45932</v>
      </c>
      <c r="H16" s="5" t="n">
        <f aca="false">_xlfn.MAXIFS('Reference Log'!$A$2:$A$797,'Reference Log'!$E$2:$E$797,B16)</f>
        <v>46279</v>
      </c>
      <c r="I16" s="5" t="n">
        <f aca="false">_xlfn.MAXIFS('Reference Log'!$D$2:$D$797,'Reference Log'!$E$2:$E$797,B16)</f>
        <v>46284</v>
      </c>
      <c r="J16" s="4" t="s">
        <v>73</v>
      </c>
      <c r="K16" s="4" t="s">
        <v>74</v>
      </c>
      <c r="L16" s="4" t="s">
        <v>75</v>
      </c>
    </row>
    <row r="17" customFormat="false" ht="15" hidden="false" customHeight="false" outlineLevel="0" collapsed="false">
      <c r="A17" s="4" t="n">
        <v>13</v>
      </c>
      <c r="B17" s="4" t="s">
        <v>76</v>
      </c>
      <c r="C17" s="4" t="s">
        <v>21</v>
      </c>
      <c r="D17" s="4" t="s">
        <v>77</v>
      </c>
      <c r="E17" s="4" t="n">
        <f aca="false">COUNTIF('Reference Log'!$E$2:$E$797,B17)</f>
        <v>12</v>
      </c>
      <c r="F17" s="4" t="n">
        <f aca="false">SUMIFS('Reference Log'!$J$2:$J$797,'Reference Log'!$E$2:$E$797,B17)</f>
        <v>6</v>
      </c>
      <c r="G17" s="5" t="n">
        <f aca="false">_xlfn.MINIFS('Reference Log'!$A$2:$A$797,'Reference Log'!$E$2:$E$797,B17)</f>
        <v>46214</v>
      </c>
      <c r="H17" s="5" t="n">
        <f aca="false">_xlfn.MAXIFS('Reference Log'!$A$2:$A$797,'Reference Log'!$E$2:$E$797,B17)</f>
        <v>46311</v>
      </c>
      <c r="I17" s="5" t="n">
        <f aca="false">_xlfn.MAXIFS('Reference Log'!$D$2:$D$797,'Reference Log'!$E$2:$E$797,B17)</f>
        <v>46320</v>
      </c>
      <c r="J17" s="4" t="s">
        <v>78</v>
      </c>
      <c r="K17" s="4" t="s">
        <v>79</v>
      </c>
      <c r="L17" s="4" t="s">
        <v>80</v>
      </c>
    </row>
    <row r="18" customFormat="false" ht="15" hidden="false" customHeight="false" outlineLevel="0" collapsed="false">
      <c r="A18" s="4" t="n">
        <v>14</v>
      </c>
      <c r="B18" s="4" t="s">
        <v>81</v>
      </c>
      <c r="C18" s="4" t="s">
        <v>15</v>
      </c>
      <c r="D18" s="4" t="s">
        <v>82</v>
      </c>
      <c r="E18" s="4" t="n">
        <f aca="false">COUNTIF('Reference Log'!$E$2:$E$797,B18)</f>
        <v>10</v>
      </c>
      <c r="F18" s="4" t="n">
        <f aca="false">SUMIFS('Reference Log'!$J$2:$J$797,'Reference Log'!$E$2:$E$797,B18)</f>
        <v>10</v>
      </c>
      <c r="G18" s="5" t="n">
        <f aca="false">_xlfn.MINIFS('Reference Log'!$A$2:$A$797,'Reference Log'!$E$2:$E$797,B18)</f>
        <v>45975</v>
      </c>
      <c r="H18" s="5" t="n">
        <f aca="false">_xlfn.MAXIFS('Reference Log'!$A$2:$A$797,'Reference Log'!$E$2:$E$797,B18)</f>
        <v>46249</v>
      </c>
      <c r="I18" s="5" t="n">
        <f aca="false">_xlfn.MAXIFS('Reference Log'!$D$2:$D$797,'Reference Log'!$E$2:$E$797,B18)</f>
        <v>46253</v>
      </c>
      <c r="J18" s="4" t="s">
        <v>83</v>
      </c>
      <c r="K18" s="4" t="s">
        <v>84</v>
      </c>
      <c r="L18" s="4" t="s">
        <v>85</v>
      </c>
    </row>
    <row r="19" customFormat="false" ht="15" hidden="false" customHeight="false" outlineLevel="0" collapsed="false">
      <c r="A19" s="4" t="n">
        <v>15</v>
      </c>
      <c r="B19" s="4" t="s">
        <v>86</v>
      </c>
      <c r="C19" s="4" t="s">
        <v>87</v>
      </c>
      <c r="D19" s="4" t="s">
        <v>88</v>
      </c>
      <c r="E19" s="4" t="n">
        <f aca="false">COUNTIF('Reference Log'!$E$2:$E$797,B19)</f>
        <v>10</v>
      </c>
      <c r="F19" s="4" t="n">
        <f aca="false">SUMIFS('Reference Log'!$J$2:$J$797,'Reference Log'!$E$2:$E$797,B19)</f>
        <v>9</v>
      </c>
      <c r="G19" s="5" t="n">
        <f aca="false">_xlfn.MINIFS('Reference Log'!$A$2:$A$797,'Reference Log'!$E$2:$E$797,B19)</f>
        <v>45962</v>
      </c>
      <c r="H19" s="5" t="n">
        <f aca="false">_xlfn.MAXIFS('Reference Log'!$A$2:$A$797,'Reference Log'!$E$2:$E$797,B19)</f>
        <v>46161</v>
      </c>
      <c r="I19" s="5" t="n">
        <f aca="false">_xlfn.MAXIFS('Reference Log'!$D$2:$D$797,'Reference Log'!$E$2:$E$797,B19)</f>
        <v>46152</v>
      </c>
      <c r="J19" s="4" t="s">
        <v>89</v>
      </c>
      <c r="K19" s="4" t="s">
        <v>90</v>
      </c>
      <c r="L19" s="4" t="s">
        <v>91</v>
      </c>
    </row>
    <row r="20" customFormat="false" ht="15" hidden="false" customHeight="false" outlineLevel="0" collapsed="false">
      <c r="A20" s="4" t="n">
        <v>16</v>
      </c>
      <c r="B20" s="4" t="s">
        <v>92</v>
      </c>
      <c r="C20" s="4" t="s">
        <v>27</v>
      </c>
      <c r="D20" s="4" t="s">
        <v>54</v>
      </c>
      <c r="E20" s="4" t="n">
        <f aca="false">COUNTIF('Reference Log'!$E$2:$E$797,B20)</f>
        <v>9</v>
      </c>
      <c r="F20" s="4" t="n">
        <f aca="false">SUMIFS('Reference Log'!$J$2:$J$797,'Reference Log'!$E$2:$E$797,B20)</f>
        <v>9</v>
      </c>
      <c r="G20" s="5" t="n">
        <f aca="false">_xlfn.MINIFS('Reference Log'!$A$2:$A$797,'Reference Log'!$E$2:$E$797,B20)</f>
        <v>46055</v>
      </c>
      <c r="H20" s="5" t="n">
        <f aca="false">_xlfn.MAXIFS('Reference Log'!$A$2:$A$797,'Reference Log'!$E$2:$E$797,B20)</f>
        <v>46187</v>
      </c>
      <c r="I20" s="5" t="n">
        <f aca="false">_xlfn.MAXIFS('Reference Log'!$D$2:$D$797,'Reference Log'!$E$2:$E$797,B20)</f>
        <v>46197</v>
      </c>
      <c r="J20" s="4" t="s">
        <v>93</v>
      </c>
      <c r="K20" s="4" t="s">
        <v>94</v>
      </c>
      <c r="L20" s="4" t="s">
        <v>95</v>
      </c>
    </row>
    <row r="21" customFormat="false" ht="15" hidden="false" customHeight="false" outlineLevel="0" collapsed="false">
      <c r="A21" s="6" t="n">
        <v>17</v>
      </c>
      <c r="B21" s="6" t="s">
        <v>96</v>
      </c>
      <c r="C21" s="6" t="s">
        <v>33</v>
      </c>
      <c r="D21" s="6" t="s">
        <v>97</v>
      </c>
      <c r="E21" s="6" t="n">
        <f aca="false">COUNTIF('Reference Log'!$E$2:$E$797,B21)</f>
        <v>8</v>
      </c>
      <c r="F21" s="6" t="n">
        <f aca="false">SUMIFS('Reference Log'!$J$2:$J$797,'Reference Log'!$E$2:$E$797,B21)</f>
        <v>8</v>
      </c>
      <c r="G21" s="7" t="n">
        <f aca="false">_xlfn.MINIFS('Reference Log'!$A$2:$A$797,'Reference Log'!$E$2:$E$797,B21)</f>
        <v>46055</v>
      </c>
      <c r="H21" s="7" t="n">
        <f aca="false">_xlfn.MAXIFS('Reference Log'!$A$2:$A$797,'Reference Log'!$E$2:$E$797,B21)</f>
        <v>46311</v>
      </c>
      <c r="I21" s="7" t="n">
        <f aca="false">_xlfn.MAXIFS('Reference Log'!$D$2:$D$797,'Reference Log'!$E$2:$E$797,B21)</f>
        <v>46321</v>
      </c>
      <c r="J21" s="6" t="s">
        <v>98</v>
      </c>
      <c r="K21" s="6" t="s">
        <v>99</v>
      </c>
      <c r="L21" s="6" t="s">
        <v>100</v>
      </c>
    </row>
    <row r="22" customFormat="false" ht="15" hidden="false" customHeight="false" outlineLevel="0" collapsed="false">
      <c r="A22" s="4" t="n">
        <v>18</v>
      </c>
      <c r="B22" s="4" t="s">
        <v>101</v>
      </c>
      <c r="C22" s="4" t="s">
        <v>21</v>
      </c>
      <c r="D22" s="4" t="s">
        <v>102</v>
      </c>
      <c r="E22" s="4" t="n">
        <f aca="false">COUNTIF('Reference Log'!$E$2:$E$797,B22)</f>
        <v>7</v>
      </c>
      <c r="F22" s="4" t="n">
        <f aca="false">SUMIFS('Reference Log'!$J$2:$J$797,'Reference Log'!$E$2:$E$797,B22)</f>
        <v>7</v>
      </c>
      <c r="G22" s="5" t="n">
        <f aca="false">_xlfn.MINIFS('Reference Log'!$A$2:$A$797,'Reference Log'!$E$2:$E$797,B22)</f>
        <v>46214</v>
      </c>
      <c r="H22" s="5" t="n">
        <f aca="false">_xlfn.MAXIFS('Reference Log'!$A$2:$A$797,'Reference Log'!$E$2:$E$797,B22)</f>
        <v>46311</v>
      </c>
      <c r="I22" s="5" t="n">
        <f aca="false">_xlfn.MAXIFS('Reference Log'!$D$2:$D$797,'Reference Log'!$E$2:$E$797,B22)</f>
        <v>46326</v>
      </c>
      <c r="J22" s="4" t="s">
        <v>103</v>
      </c>
      <c r="K22" s="4" t="s">
        <v>104</v>
      </c>
      <c r="L22" s="4" t="s">
        <v>105</v>
      </c>
    </row>
    <row r="23" customFormat="false" ht="15" hidden="false" customHeight="false" outlineLevel="0" collapsed="false">
      <c r="A23" s="4" t="n">
        <v>19</v>
      </c>
      <c r="B23" s="4" t="s">
        <v>106</v>
      </c>
      <c r="C23" s="4" t="s">
        <v>107</v>
      </c>
      <c r="D23" s="4" t="s">
        <v>108</v>
      </c>
      <c r="E23" s="4" t="n">
        <f aca="false">COUNTIF('Reference Log'!$E$2:$E$797,B23)</f>
        <v>7</v>
      </c>
      <c r="F23" s="4" t="n">
        <f aca="false">SUMIFS('Reference Log'!$J$2:$J$797,'Reference Log'!$E$2:$E$797,B23)</f>
        <v>7</v>
      </c>
      <c r="G23" s="5" t="n">
        <f aca="false">_xlfn.MINIFS('Reference Log'!$A$2:$A$797,'Reference Log'!$E$2:$E$797,B23)</f>
        <v>45992</v>
      </c>
      <c r="H23" s="5" t="n">
        <f aca="false">_xlfn.MAXIFS('Reference Log'!$A$2:$A$797,'Reference Log'!$E$2:$E$797,B23)</f>
        <v>46114</v>
      </c>
      <c r="I23" s="5" t="n">
        <f aca="false">_xlfn.MAXIFS('Reference Log'!$D$2:$D$797,'Reference Log'!$E$2:$E$797,B23)</f>
        <v>46124</v>
      </c>
      <c r="J23" s="4" t="s">
        <v>109</v>
      </c>
      <c r="K23" s="4" t="s">
        <v>110</v>
      </c>
      <c r="L23" s="4" t="s">
        <v>111</v>
      </c>
    </row>
    <row r="24" customFormat="false" ht="15" hidden="false" customHeight="false" outlineLevel="0" collapsed="false">
      <c r="A24" s="4" t="n">
        <v>20</v>
      </c>
      <c r="B24" s="4" t="s">
        <v>112</v>
      </c>
      <c r="C24" s="4" t="s">
        <v>21</v>
      </c>
      <c r="D24" s="4" t="s">
        <v>113</v>
      </c>
      <c r="E24" s="4" t="n">
        <f aca="false">COUNTIF('Reference Log'!$E$2:$E$797,B24)</f>
        <v>7</v>
      </c>
      <c r="F24" s="4" t="n">
        <f aca="false">SUMIFS('Reference Log'!$J$2:$J$797,'Reference Log'!$E$2:$E$797,B24)</f>
        <v>5</v>
      </c>
      <c r="G24" s="5" t="n">
        <f aca="false">_xlfn.MINIFS('Reference Log'!$A$2:$A$797,'Reference Log'!$E$2:$E$797,B24)</f>
        <v>46024</v>
      </c>
      <c r="H24" s="5" t="n">
        <f aca="false">_xlfn.MAXIFS('Reference Log'!$A$2:$A$797,'Reference Log'!$E$2:$E$797,B24)</f>
        <v>46083</v>
      </c>
      <c r="I24" s="5" t="n">
        <f aca="false">_xlfn.MAXIFS('Reference Log'!$D$2:$D$797,'Reference Log'!$E$2:$E$797,B24)</f>
        <v>46112</v>
      </c>
      <c r="J24" s="4" t="s">
        <v>114</v>
      </c>
      <c r="K24" s="4" t="s">
        <v>115</v>
      </c>
      <c r="L24" s="4" t="s">
        <v>111</v>
      </c>
    </row>
    <row r="25" customFormat="false" ht="15" hidden="false" customHeight="false" outlineLevel="0" collapsed="false">
      <c r="A25" s="4" t="n">
        <v>21</v>
      </c>
      <c r="B25" s="4" t="s">
        <v>116</v>
      </c>
      <c r="C25" s="4" t="s">
        <v>21</v>
      </c>
      <c r="D25" s="4" t="s">
        <v>117</v>
      </c>
      <c r="E25" s="4" t="n">
        <f aca="false">COUNTIF('Reference Log'!$E$2:$E$797,B25)</f>
        <v>7</v>
      </c>
      <c r="F25" s="4" t="n">
        <f aca="false">SUMIFS('Reference Log'!$J$2:$J$797,'Reference Log'!$E$2:$E$797,B25)</f>
        <v>5</v>
      </c>
      <c r="G25" s="5" t="n">
        <f aca="false">_xlfn.MINIFS('Reference Log'!$A$2:$A$797,'Reference Log'!$E$2:$E$797,B25)</f>
        <v>45962</v>
      </c>
      <c r="H25" s="5" t="n">
        <f aca="false">_xlfn.MAXIFS('Reference Log'!$A$2:$A$797,'Reference Log'!$E$2:$E$797,B25)</f>
        <v>46266</v>
      </c>
      <c r="I25" s="5" t="n">
        <f aca="false">_xlfn.MAXIFS('Reference Log'!$D$2:$D$797,'Reference Log'!$E$2:$E$797,B25)</f>
        <v>46278</v>
      </c>
      <c r="J25" s="4" t="s">
        <v>118</v>
      </c>
      <c r="K25" s="4" t="s">
        <v>116</v>
      </c>
      <c r="L25" s="4" t="s">
        <v>119</v>
      </c>
    </row>
    <row r="26" customFormat="false" ht="15" hidden="false" customHeight="false" outlineLevel="0" collapsed="false">
      <c r="A26" s="4" t="n">
        <v>22</v>
      </c>
      <c r="B26" s="4" t="s">
        <v>120</v>
      </c>
      <c r="C26" s="4" t="s">
        <v>15</v>
      </c>
      <c r="D26" s="4" t="s">
        <v>121</v>
      </c>
      <c r="E26" s="4" t="n">
        <f aca="false">COUNTIF('Reference Log'!$E$2:$E$797,B26)</f>
        <v>6</v>
      </c>
      <c r="F26" s="4" t="n">
        <f aca="false">SUMIFS('Reference Log'!$J$2:$J$797,'Reference Log'!$E$2:$E$797,B26)</f>
        <v>6</v>
      </c>
      <c r="G26" s="5" t="n">
        <f aca="false">_xlfn.MINIFS('Reference Log'!$A$2:$A$797,'Reference Log'!$E$2:$E$797,B26)</f>
        <v>46235</v>
      </c>
      <c r="H26" s="5" t="n">
        <f aca="false">_xlfn.MAXIFS('Reference Log'!$A$2:$A$797,'Reference Log'!$E$2:$E$797,B26)</f>
        <v>46311</v>
      </c>
      <c r="I26" s="5" t="n">
        <f aca="false">_xlfn.MAXIFS('Reference Log'!$D$2:$D$797,'Reference Log'!$E$2:$E$797,B26)</f>
        <v>46326</v>
      </c>
      <c r="J26" s="4" t="s">
        <v>122</v>
      </c>
      <c r="K26" s="4" t="s">
        <v>123</v>
      </c>
      <c r="L26" s="4" t="s">
        <v>124</v>
      </c>
    </row>
    <row r="27" customFormat="false" ht="15" hidden="false" customHeight="false" outlineLevel="0" collapsed="false">
      <c r="A27" s="4" t="n">
        <v>23</v>
      </c>
      <c r="B27" s="4" t="s">
        <v>125</v>
      </c>
      <c r="C27" s="4" t="s">
        <v>107</v>
      </c>
      <c r="D27" s="4" t="s">
        <v>39</v>
      </c>
      <c r="E27" s="4" t="n">
        <f aca="false">COUNTIF('Reference Log'!$E$2:$E$797,B27)</f>
        <v>6</v>
      </c>
      <c r="F27" s="4" t="n">
        <f aca="false">SUMIFS('Reference Log'!$J$2:$J$797,'Reference Log'!$E$2:$E$797,B27)</f>
        <v>6</v>
      </c>
      <c r="G27" s="5" t="n">
        <f aca="false">_xlfn.MINIFS('Reference Log'!$A$2:$A$797,'Reference Log'!$E$2:$E$797,B27)</f>
        <v>46174</v>
      </c>
      <c r="H27" s="5" t="n">
        <f aca="false">_xlfn.MAXIFS('Reference Log'!$A$2:$A$797,'Reference Log'!$E$2:$E$797,B27)</f>
        <v>46279</v>
      </c>
      <c r="I27" s="5" t="n">
        <f aca="false">_xlfn.MAXIFS('Reference Log'!$D$2:$D$797,'Reference Log'!$E$2:$E$797,B27)</f>
        <v>46281</v>
      </c>
      <c r="J27" s="4" t="s">
        <v>126</v>
      </c>
      <c r="K27" s="4" t="s">
        <v>127</v>
      </c>
      <c r="L27" s="4" t="s">
        <v>128</v>
      </c>
    </row>
    <row r="28" customFormat="false" ht="15" hidden="false" customHeight="false" outlineLevel="0" collapsed="false">
      <c r="A28" s="4" t="n">
        <v>24</v>
      </c>
      <c r="B28" s="4" t="s">
        <v>129</v>
      </c>
      <c r="C28" s="4" t="s">
        <v>87</v>
      </c>
      <c r="D28" s="4" t="s">
        <v>54</v>
      </c>
      <c r="E28" s="4" t="n">
        <f aca="false">COUNTIF('Reference Log'!$E$2:$E$797,B28)</f>
        <v>6</v>
      </c>
      <c r="F28" s="4" t="n">
        <f aca="false">SUMIFS('Reference Log'!$J$2:$J$797,'Reference Log'!$E$2:$E$797,B28)</f>
        <v>6</v>
      </c>
      <c r="G28" s="5" t="n">
        <f aca="false">_xlfn.MINIFS('Reference Log'!$A$2:$A$797,'Reference Log'!$E$2:$E$797,B28)</f>
        <v>46083</v>
      </c>
      <c r="H28" s="5" t="n">
        <f aca="false">_xlfn.MAXIFS('Reference Log'!$A$2:$A$797,'Reference Log'!$E$2:$E$797,B28)</f>
        <v>46193</v>
      </c>
      <c r="I28" s="5" t="n">
        <f aca="false">_xlfn.MAXIFS('Reference Log'!$D$2:$D$797,'Reference Log'!$E$2:$E$797,B28)</f>
        <v>46203</v>
      </c>
      <c r="J28" s="4" t="s">
        <v>130</v>
      </c>
      <c r="K28" s="4" t="s">
        <v>131</v>
      </c>
      <c r="L28" s="4" t="s">
        <v>132</v>
      </c>
    </row>
    <row r="29" customFormat="false" ht="15" hidden="false" customHeight="false" outlineLevel="0" collapsed="false">
      <c r="A29" s="6" t="n">
        <v>25</v>
      </c>
      <c r="B29" s="6" t="s">
        <v>133</v>
      </c>
      <c r="C29" s="6" t="s">
        <v>33</v>
      </c>
      <c r="D29" s="6" t="s">
        <v>134</v>
      </c>
      <c r="E29" s="6" t="n">
        <f aca="false">COUNTIF('Reference Log'!$E$2:$E$797,B29)</f>
        <v>6</v>
      </c>
      <c r="F29" s="6" t="n">
        <f aca="false">SUMIFS('Reference Log'!$J$2:$J$797,'Reference Log'!$E$2:$E$797,B29)</f>
        <v>6</v>
      </c>
      <c r="G29" s="7" t="n">
        <f aca="false">_xlfn.MINIFS('Reference Log'!$A$2:$A$797,'Reference Log'!$E$2:$E$797,B29)</f>
        <v>46038</v>
      </c>
      <c r="H29" s="7" t="n">
        <f aca="false">_xlfn.MAXIFS('Reference Log'!$A$2:$A$797,'Reference Log'!$E$2:$E$797,B29)</f>
        <v>46311</v>
      </c>
      <c r="I29" s="7" t="n">
        <f aca="false">_xlfn.MAXIFS('Reference Log'!$D$2:$D$797,'Reference Log'!$E$2:$E$797,B29)</f>
        <v>46317</v>
      </c>
      <c r="J29" s="6" t="s">
        <v>135</v>
      </c>
      <c r="K29" s="6" t="s">
        <v>136</v>
      </c>
      <c r="L29" s="6" t="s">
        <v>128</v>
      </c>
    </row>
    <row r="30" customFormat="false" ht="15" hidden="false" customHeight="false" outlineLevel="0" collapsed="false">
      <c r="A30" s="6" t="n">
        <v>26</v>
      </c>
      <c r="B30" s="6" t="s">
        <v>137</v>
      </c>
      <c r="C30" s="6" t="s">
        <v>33</v>
      </c>
      <c r="D30" s="6" t="s">
        <v>138</v>
      </c>
      <c r="E30" s="6" t="n">
        <f aca="false">COUNTIF('Reference Log'!$E$2:$E$797,B30)</f>
        <v>6</v>
      </c>
      <c r="F30" s="6" t="n">
        <f aca="false">SUMIFS('Reference Log'!$J$2:$J$797,'Reference Log'!$E$2:$E$797,B30)</f>
        <v>6</v>
      </c>
      <c r="G30" s="7" t="n">
        <f aca="false">_xlfn.MINIFS('Reference Log'!$A$2:$A$797,'Reference Log'!$E$2:$E$797,B30)</f>
        <v>45962</v>
      </c>
      <c r="H30" s="7" t="n">
        <f aca="false">_xlfn.MAXIFS('Reference Log'!$A$2:$A$797,'Reference Log'!$E$2:$E$797,B30)</f>
        <v>46279</v>
      </c>
      <c r="I30" s="7" t="n">
        <f aca="false">_xlfn.MAXIFS('Reference Log'!$D$2:$D$797,'Reference Log'!$E$2:$E$797,B30)</f>
        <v>46291</v>
      </c>
      <c r="J30" s="6" t="s">
        <v>139</v>
      </c>
      <c r="K30" s="6" t="s">
        <v>41</v>
      </c>
      <c r="L30" s="6" t="s">
        <v>140</v>
      </c>
    </row>
    <row r="31" customFormat="false" ht="15" hidden="false" customHeight="false" outlineLevel="0" collapsed="false">
      <c r="A31" s="4" t="n">
        <v>27</v>
      </c>
      <c r="B31" s="4" t="s">
        <v>141</v>
      </c>
      <c r="C31" s="4" t="s">
        <v>107</v>
      </c>
      <c r="D31" s="4" t="s">
        <v>142</v>
      </c>
      <c r="E31" s="4" t="n">
        <f aca="false">COUNTIF('Reference Log'!$E$2:$E$797,B31)</f>
        <v>6</v>
      </c>
      <c r="F31" s="4" t="n">
        <f aca="false">SUMIFS('Reference Log'!$J$2:$J$797,'Reference Log'!$E$2:$E$797,B31)</f>
        <v>5</v>
      </c>
      <c r="G31" s="5" t="n">
        <f aca="false">_xlfn.MINIFS('Reference Log'!$A$2:$A$797,'Reference Log'!$E$2:$E$797,B31)</f>
        <v>46038</v>
      </c>
      <c r="H31" s="5" t="n">
        <f aca="false">_xlfn.MAXIFS('Reference Log'!$A$2:$A$797,'Reference Log'!$E$2:$E$797,B31)</f>
        <v>46161</v>
      </c>
      <c r="I31" s="5" t="n">
        <f aca="false">_xlfn.MAXIFS('Reference Log'!$D$2:$D$797,'Reference Log'!$E$2:$E$797,B31)</f>
        <v>46161</v>
      </c>
      <c r="J31" s="4" t="s">
        <v>143</v>
      </c>
      <c r="K31" s="4" t="s">
        <v>144</v>
      </c>
      <c r="L31" s="4" t="s">
        <v>145</v>
      </c>
    </row>
    <row r="32" customFormat="false" ht="15" hidden="false" customHeight="false" outlineLevel="0" collapsed="false">
      <c r="A32" s="4" t="n">
        <v>28</v>
      </c>
      <c r="B32" s="4" t="s">
        <v>146</v>
      </c>
      <c r="C32" s="4" t="s">
        <v>107</v>
      </c>
      <c r="D32" s="4" t="s">
        <v>147</v>
      </c>
      <c r="E32" s="4" t="n">
        <f aca="false">COUNTIF('Reference Log'!$E$2:$E$797,B32)</f>
        <v>5</v>
      </c>
      <c r="F32" s="4" t="n">
        <f aca="false">SUMIFS('Reference Log'!$J$2:$J$797,'Reference Log'!$E$2:$E$797,B32)</f>
        <v>5</v>
      </c>
      <c r="G32" s="5" t="n">
        <f aca="false">_xlfn.MINIFS('Reference Log'!$A$2:$A$797,'Reference Log'!$E$2:$E$797,B32)</f>
        <v>46174</v>
      </c>
      <c r="H32" s="5" t="n">
        <f aca="false">_xlfn.MAXIFS('Reference Log'!$A$2:$A$797,'Reference Log'!$E$2:$E$797,B32)</f>
        <v>46296</v>
      </c>
      <c r="I32" s="5" t="n">
        <f aca="false">_xlfn.MAXIFS('Reference Log'!$D$2:$D$797,'Reference Log'!$E$2:$E$797,B32)</f>
        <v>46300</v>
      </c>
      <c r="J32" s="4" t="s">
        <v>148</v>
      </c>
      <c r="K32" s="4" t="s">
        <v>149</v>
      </c>
      <c r="L32" s="4" t="s">
        <v>128</v>
      </c>
    </row>
    <row r="33" customFormat="false" ht="15" hidden="false" customHeight="false" outlineLevel="0" collapsed="false">
      <c r="A33" s="4" t="n">
        <v>29</v>
      </c>
      <c r="B33" s="4" t="s">
        <v>150</v>
      </c>
      <c r="C33" s="4" t="s">
        <v>15</v>
      </c>
      <c r="D33" s="4" t="s">
        <v>16</v>
      </c>
      <c r="E33" s="4" t="n">
        <f aca="false">COUNTIF('Reference Log'!$E$2:$E$797,B33)</f>
        <v>5</v>
      </c>
      <c r="F33" s="4" t="n">
        <f aca="false">SUMIFS('Reference Log'!$J$2:$J$797,'Reference Log'!$E$2:$E$797,B33)</f>
        <v>3</v>
      </c>
      <c r="G33" s="5" t="n">
        <f aca="false">_xlfn.MINIFS('Reference Log'!$A$2:$A$797,'Reference Log'!$E$2:$E$797,B33)</f>
        <v>46174</v>
      </c>
      <c r="H33" s="5" t="n">
        <f aca="false">_xlfn.MAXIFS('Reference Log'!$A$2:$A$797,'Reference Log'!$E$2:$E$797,B33)</f>
        <v>46193</v>
      </c>
      <c r="I33" s="5" t="n">
        <f aca="false">_xlfn.MAXIFS('Reference Log'!$D$2:$D$797,'Reference Log'!$E$2:$E$797,B33)</f>
        <v>46207</v>
      </c>
      <c r="J33" s="4" t="s">
        <v>151</v>
      </c>
      <c r="K33" s="4" t="s">
        <v>152</v>
      </c>
      <c r="L33" s="4" t="s">
        <v>132</v>
      </c>
    </row>
    <row r="34" customFormat="false" ht="15" hidden="false" customHeight="false" outlineLevel="0" collapsed="false">
      <c r="A34" s="4" t="n">
        <v>30</v>
      </c>
      <c r="B34" s="4" t="s">
        <v>153</v>
      </c>
      <c r="C34" s="4" t="s">
        <v>154</v>
      </c>
      <c r="D34" s="4" t="s">
        <v>155</v>
      </c>
      <c r="E34" s="4" t="n">
        <f aca="false">COUNTIF('Reference Log'!$E$2:$E$797,B34)</f>
        <v>5</v>
      </c>
      <c r="F34" s="4" t="n">
        <f aca="false">SUMIFS('Reference Log'!$J$2:$J$797,'Reference Log'!$E$2:$E$797,B34)</f>
        <v>3</v>
      </c>
      <c r="G34" s="5" t="n">
        <f aca="false">_xlfn.MINIFS('Reference Log'!$A$2:$A$797,'Reference Log'!$E$2:$E$797,B34)</f>
        <v>46114</v>
      </c>
      <c r="H34" s="5" t="n">
        <f aca="false">_xlfn.MAXIFS('Reference Log'!$A$2:$A$797,'Reference Log'!$E$2:$E$797,B34)</f>
        <v>46235</v>
      </c>
      <c r="I34" s="5" t="n">
        <f aca="false">_xlfn.MAXIFS('Reference Log'!$D$2:$D$797,'Reference Log'!$E$2:$E$797,B34)</f>
        <v>46235</v>
      </c>
      <c r="J34" s="4" t="s">
        <v>156</v>
      </c>
      <c r="K34" s="4" t="s">
        <v>24</v>
      </c>
      <c r="L34" s="4" t="s">
        <v>157</v>
      </c>
    </row>
    <row r="35" customFormat="false" ht="15" hidden="false" customHeight="false" outlineLevel="0" collapsed="false">
      <c r="A35" s="4" t="n">
        <v>31</v>
      </c>
      <c r="B35" s="4" t="s">
        <v>158</v>
      </c>
      <c r="C35" s="4" t="s">
        <v>107</v>
      </c>
      <c r="D35" s="4" t="s">
        <v>147</v>
      </c>
      <c r="E35" s="4" t="n">
        <f aca="false">COUNTIF('Reference Log'!$E$2:$E$797,B35)</f>
        <v>5</v>
      </c>
      <c r="F35" s="4" t="n">
        <f aca="false">SUMIFS('Reference Log'!$J$2:$J$797,'Reference Log'!$E$2:$E$797,B35)</f>
        <v>2</v>
      </c>
      <c r="G35" s="5" t="n">
        <f aca="false">_xlfn.MINIFS('Reference Log'!$A$2:$A$797,'Reference Log'!$E$2:$E$797,B35)</f>
        <v>46296</v>
      </c>
      <c r="H35" s="5" t="n">
        <f aca="false">_xlfn.MAXIFS('Reference Log'!$A$2:$A$797,'Reference Log'!$E$2:$E$797,B35)</f>
        <v>46311</v>
      </c>
      <c r="I35" s="5" t="n">
        <f aca="false">_xlfn.MAXIFS('Reference Log'!$D$2:$D$797,'Reference Log'!$E$2:$E$797,B35)</f>
        <v>46333</v>
      </c>
      <c r="J35" s="4" t="s">
        <v>159</v>
      </c>
      <c r="K35" s="4" t="s">
        <v>69</v>
      </c>
      <c r="L35" s="4" t="s">
        <v>160</v>
      </c>
    </row>
    <row r="36" customFormat="false" ht="15" hidden="false" customHeight="false" outlineLevel="0" collapsed="false">
      <c r="A36" s="4" t="n">
        <v>32</v>
      </c>
      <c r="B36" s="4" t="s">
        <v>161</v>
      </c>
      <c r="C36" s="4" t="s">
        <v>21</v>
      </c>
      <c r="D36" s="4" t="s">
        <v>162</v>
      </c>
      <c r="E36" s="4" t="n">
        <f aca="false">COUNTIF('Reference Log'!$E$2:$E$797,B36)</f>
        <v>4</v>
      </c>
      <c r="F36" s="4" t="n">
        <f aca="false">SUMIFS('Reference Log'!$J$2:$J$797,'Reference Log'!$E$2:$E$797,B36)</f>
        <v>4</v>
      </c>
      <c r="G36" s="5" t="n">
        <f aca="false">_xlfn.MINIFS('Reference Log'!$A$2:$A$797,'Reference Log'!$E$2:$E$797,B36)</f>
        <v>46143</v>
      </c>
      <c r="H36" s="5" t="n">
        <f aca="false">_xlfn.MAXIFS('Reference Log'!$A$2:$A$797,'Reference Log'!$E$2:$E$797,B36)</f>
        <v>46187</v>
      </c>
      <c r="I36" s="5" t="n">
        <f aca="false">_xlfn.MAXIFS('Reference Log'!$D$2:$D$797,'Reference Log'!$E$2:$E$797,B36)</f>
        <v>46196</v>
      </c>
      <c r="J36" s="4" t="s">
        <v>163</v>
      </c>
      <c r="K36" s="4" t="s">
        <v>164</v>
      </c>
      <c r="L36" s="4" t="s">
        <v>140</v>
      </c>
    </row>
    <row r="37" customFormat="false" ht="15" hidden="false" customHeight="false" outlineLevel="0" collapsed="false">
      <c r="A37" s="4" t="n">
        <v>33</v>
      </c>
      <c r="B37" s="4" t="s">
        <v>165</v>
      </c>
      <c r="C37" s="4" t="s">
        <v>166</v>
      </c>
      <c r="D37" s="4" t="s">
        <v>167</v>
      </c>
      <c r="E37" s="4" t="n">
        <f aca="false">COUNTIF('Reference Log'!$E$2:$E$797,B37)</f>
        <v>4</v>
      </c>
      <c r="F37" s="4" t="n">
        <f aca="false">SUMIFS('Reference Log'!$J$2:$J$797,'Reference Log'!$E$2:$E$797,B37)</f>
        <v>4</v>
      </c>
      <c r="G37" s="5" t="n">
        <f aca="false">_xlfn.MINIFS('Reference Log'!$A$2:$A$797,'Reference Log'!$E$2:$E$797,B37)</f>
        <v>45962</v>
      </c>
      <c r="H37" s="5" t="n">
        <f aca="false">_xlfn.MAXIFS('Reference Log'!$A$2:$A$797,'Reference Log'!$E$2:$E$797,B37)</f>
        <v>46004</v>
      </c>
      <c r="I37" s="5" t="n">
        <f aca="false">_xlfn.MAXIFS('Reference Log'!$D$2:$D$797,'Reference Log'!$E$2:$E$797,B37)</f>
        <v>46004</v>
      </c>
      <c r="J37" s="4" t="s">
        <v>168</v>
      </c>
      <c r="K37" s="4" t="s">
        <v>123</v>
      </c>
      <c r="L37" s="4" t="s">
        <v>124</v>
      </c>
    </row>
    <row r="38" customFormat="false" ht="15" hidden="false" customHeight="false" outlineLevel="0" collapsed="false">
      <c r="A38" s="4" t="n">
        <v>34</v>
      </c>
      <c r="B38" s="4" t="s">
        <v>169</v>
      </c>
      <c r="C38" s="4" t="s">
        <v>15</v>
      </c>
      <c r="D38" s="4" t="s">
        <v>39</v>
      </c>
      <c r="E38" s="4" t="n">
        <f aca="false">COUNTIF('Reference Log'!$E$2:$E$797,B38)</f>
        <v>4</v>
      </c>
      <c r="F38" s="4" t="n">
        <f aca="false">SUMIFS('Reference Log'!$J$2:$J$797,'Reference Log'!$E$2:$E$797,B38)</f>
        <v>4</v>
      </c>
      <c r="G38" s="5" t="n">
        <f aca="false">_xlfn.MINIFS('Reference Log'!$A$2:$A$797,'Reference Log'!$E$2:$E$797,B38)</f>
        <v>46129</v>
      </c>
      <c r="H38" s="5" t="n">
        <f aca="false">_xlfn.MAXIFS('Reference Log'!$A$2:$A$797,'Reference Log'!$E$2:$E$797,B38)</f>
        <v>46296</v>
      </c>
      <c r="I38" s="5" t="n">
        <f aca="false">_xlfn.MAXIFS('Reference Log'!$D$2:$D$797,'Reference Log'!$E$2:$E$797,B38)</f>
        <v>46298</v>
      </c>
      <c r="J38" s="4" t="s">
        <v>170</v>
      </c>
      <c r="K38" s="4" t="s">
        <v>171</v>
      </c>
      <c r="L38" s="4" t="s">
        <v>91</v>
      </c>
    </row>
    <row r="39" customFormat="false" ht="15" hidden="false" customHeight="false" outlineLevel="0" collapsed="false">
      <c r="A39" s="4" t="n">
        <v>35</v>
      </c>
      <c r="B39" s="4" t="s">
        <v>172</v>
      </c>
      <c r="C39" s="4" t="s">
        <v>15</v>
      </c>
      <c r="D39" s="4" t="s">
        <v>173</v>
      </c>
      <c r="E39" s="4" t="n">
        <f aca="false">COUNTIF('Reference Log'!$E$2:$E$797,B39)</f>
        <v>4</v>
      </c>
      <c r="F39" s="4" t="n">
        <f aca="false">SUMIFS('Reference Log'!$J$2:$J$797,'Reference Log'!$E$2:$E$797,B39)</f>
        <v>4</v>
      </c>
      <c r="G39" s="5" t="n">
        <f aca="false">_xlfn.MINIFS('Reference Log'!$A$2:$A$797,'Reference Log'!$E$2:$E$797,B39)</f>
        <v>46214</v>
      </c>
      <c r="H39" s="5" t="n">
        <f aca="false">_xlfn.MAXIFS('Reference Log'!$A$2:$A$797,'Reference Log'!$E$2:$E$797,B39)</f>
        <v>46311</v>
      </c>
      <c r="I39" s="5" t="n">
        <f aca="false">_xlfn.MAXIFS('Reference Log'!$D$2:$D$797,'Reference Log'!$E$2:$E$797,B39)</f>
        <v>46320</v>
      </c>
      <c r="J39" s="4" t="s">
        <v>174</v>
      </c>
      <c r="K39" s="4" t="s">
        <v>175</v>
      </c>
      <c r="L39" s="4" t="s">
        <v>100</v>
      </c>
    </row>
    <row r="40" customFormat="false" ht="15" hidden="false" customHeight="false" outlineLevel="0" collapsed="false">
      <c r="A40" s="4" t="n">
        <v>36</v>
      </c>
      <c r="B40" s="4" t="s">
        <v>176</v>
      </c>
      <c r="C40" s="4" t="s">
        <v>177</v>
      </c>
      <c r="D40" s="4" t="s">
        <v>28</v>
      </c>
      <c r="E40" s="4" t="n">
        <f aca="false">COUNTIF('Reference Log'!$E$2:$E$797,B40)</f>
        <v>4</v>
      </c>
      <c r="F40" s="4" t="n">
        <f aca="false">SUMIFS('Reference Log'!$J$2:$J$797,'Reference Log'!$E$2:$E$797,B40)</f>
        <v>4</v>
      </c>
      <c r="G40" s="5" t="n">
        <f aca="false">_xlfn.MINIFS('Reference Log'!$A$2:$A$797,'Reference Log'!$E$2:$E$797,B40)</f>
        <v>46235</v>
      </c>
      <c r="H40" s="5" t="n">
        <f aca="false">_xlfn.MAXIFS('Reference Log'!$A$2:$A$797,'Reference Log'!$E$2:$E$797,B40)</f>
        <v>46296</v>
      </c>
      <c r="I40" s="5" t="n">
        <f aca="false">_xlfn.MAXIFS('Reference Log'!$D$2:$D$797,'Reference Log'!$E$2:$E$797,B40)</f>
        <v>46296</v>
      </c>
      <c r="J40" s="4" t="s">
        <v>178</v>
      </c>
      <c r="K40" s="4" t="s">
        <v>123</v>
      </c>
      <c r="L40" s="4" t="s">
        <v>124</v>
      </c>
    </row>
    <row r="41" customFormat="false" ht="15" hidden="false" customHeight="false" outlineLevel="0" collapsed="false">
      <c r="A41" s="4" t="n">
        <v>37</v>
      </c>
      <c r="B41" s="4" t="s">
        <v>179</v>
      </c>
      <c r="C41" s="4" t="s">
        <v>177</v>
      </c>
      <c r="D41" s="4" t="s">
        <v>142</v>
      </c>
      <c r="E41" s="4" t="n">
        <f aca="false">COUNTIF('Reference Log'!$E$2:$E$797,B41)</f>
        <v>4</v>
      </c>
      <c r="F41" s="4" t="n">
        <f aca="false">SUMIFS('Reference Log'!$J$2:$J$797,'Reference Log'!$E$2:$E$797,B41)</f>
        <v>4</v>
      </c>
      <c r="G41" s="5" t="n">
        <f aca="false">_xlfn.MINIFS('Reference Log'!$A$2:$A$797,'Reference Log'!$E$2:$E$797,B41)</f>
        <v>46235</v>
      </c>
      <c r="H41" s="5" t="n">
        <f aca="false">_xlfn.MAXIFS('Reference Log'!$A$2:$A$797,'Reference Log'!$E$2:$E$797,B41)</f>
        <v>46279</v>
      </c>
      <c r="I41" s="5" t="n">
        <f aca="false">_xlfn.MAXIFS('Reference Log'!$D$2:$D$797,'Reference Log'!$E$2:$E$797,B41)</f>
        <v>46283</v>
      </c>
      <c r="J41" s="4" t="s">
        <v>180</v>
      </c>
      <c r="K41" s="4" t="s">
        <v>181</v>
      </c>
      <c r="L41" s="4" t="s">
        <v>132</v>
      </c>
    </row>
    <row r="42" customFormat="false" ht="15" hidden="false" customHeight="false" outlineLevel="0" collapsed="false">
      <c r="A42" s="4" t="n">
        <v>38</v>
      </c>
      <c r="B42" s="4" t="s">
        <v>182</v>
      </c>
      <c r="C42" s="4" t="s">
        <v>154</v>
      </c>
      <c r="D42" s="4" t="s">
        <v>183</v>
      </c>
      <c r="E42" s="4" t="n">
        <f aca="false">COUNTIF('Reference Log'!$E$2:$E$797,B42)</f>
        <v>4</v>
      </c>
      <c r="F42" s="4" t="n">
        <f aca="false">SUMIFS('Reference Log'!$J$2:$J$797,'Reference Log'!$E$2:$E$797,B42)</f>
        <v>4</v>
      </c>
      <c r="G42" s="5" t="n">
        <f aca="false">_xlfn.MINIFS('Reference Log'!$A$2:$A$797,'Reference Log'!$E$2:$E$797,B42)</f>
        <v>46055</v>
      </c>
      <c r="H42" s="5" t="n">
        <f aca="false">_xlfn.MAXIFS('Reference Log'!$A$2:$A$797,'Reference Log'!$E$2:$E$797,B42)</f>
        <v>46161</v>
      </c>
      <c r="I42" s="5" t="n">
        <f aca="false">_xlfn.MAXIFS('Reference Log'!$D$2:$D$797,'Reference Log'!$E$2:$E$797,B42)</f>
        <v>46147</v>
      </c>
      <c r="J42" s="4" t="s">
        <v>184</v>
      </c>
      <c r="K42" s="4" t="s">
        <v>185</v>
      </c>
      <c r="L42" s="4" t="s">
        <v>140</v>
      </c>
    </row>
    <row r="43" customFormat="false" ht="15" hidden="false" customHeight="false" outlineLevel="0" collapsed="false">
      <c r="A43" s="6" t="n">
        <v>39</v>
      </c>
      <c r="B43" s="6" t="s">
        <v>186</v>
      </c>
      <c r="C43" s="6" t="s">
        <v>33</v>
      </c>
      <c r="D43" s="6" t="s">
        <v>187</v>
      </c>
      <c r="E43" s="6" t="n">
        <f aca="false">COUNTIF('Reference Log'!$E$2:$E$797,B43)</f>
        <v>4</v>
      </c>
      <c r="F43" s="6" t="n">
        <f aca="false">SUMIFS('Reference Log'!$J$2:$J$797,'Reference Log'!$E$2:$E$797,B43)</f>
        <v>4</v>
      </c>
      <c r="G43" s="7" t="n">
        <f aca="false">_xlfn.MINIFS('Reference Log'!$A$2:$A$797,'Reference Log'!$E$2:$E$797,B43)</f>
        <v>45932</v>
      </c>
      <c r="H43" s="7" t="n">
        <f aca="false">_xlfn.MAXIFS('Reference Log'!$A$2:$A$797,'Reference Log'!$E$2:$E$797,B43)</f>
        <v>46311</v>
      </c>
      <c r="I43" s="7" t="n">
        <f aca="false">_xlfn.MAXIFS('Reference Log'!$D$2:$D$797,'Reference Log'!$E$2:$E$797,B43)</f>
        <v>46323</v>
      </c>
      <c r="J43" s="6" t="s">
        <v>188</v>
      </c>
      <c r="K43" s="6" t="s">
        <v>123</v>
      </c>
      <c r="L43" s="6" t="s">
        <v>124</v>
      </c>
    </row>
    <row r="44" customFormat="false" ht="15" hidden="false" customHeight="false" outlineLevel="0" collapsed="false">
      <c r="A44" s="4" t="n">
        <v>40</v>
      </c>
      <c r="B44" s="4" t="s">
        <v>189</v>
      </c>
      <c r="C44" s="4" t="s">
        <v>190</v>
      </c>
      <c r="D44" s="4" t="s">
        <v>191</v>
      </c>
      <c r="E44" s="4" t="n">
        <f aca="false">COUNTIF('Reference Log'!$E$2:$E$797,B44)</f>
        <v>3</v>
      </c>
      <c r="F44" s="4" t="n">
        <f aca="false">SUMIFS('Reference Log'!$J$2:$J$797,'Reference Log'!$E$2:$E$797,B44)</f>
        <v>3</v>
      </c>
      <c r="G44" s="5" t="n">
        <f aca="false">_xlfn.MINIFS('Reference Log'!$A$2:$A$797,'Reference Log'!$E$2:$E$797,B44)</f>
        <v>46114</v>
      </c>
      <c r="H44" s="5" t="n">
        <f aca="false">_xlfn.MAXIFS('Reference Log'!$A$2:$A$797,'Reference Log'!$E$2:$E$797,B44)</f>
        <v>46187</v>
      </c>
      <c r="I44" s="5" t="n">
        <f aca="false">_xlfn.MAXIFS('Reference Log'!$D$2:$D$797,'Reference Log'!$E$2:$E$797,B44)</f>
        <v>46200</v>
      </c>
      <c r="J44" s="4" t="s">
        <v>192</v>
      </c>
      <c r="K44" s="4" t="s">
        <v>193</v>
      </c>
      <c r="L44" s="4" t="s">
        <v>140</v>
      </c>
    </row>
    <row r="45" customFormat="false" ht="15" hidden="false" customHeight="false" outlineLevel="0" collapsed="false">
      <c r="A45" s="4" t="n">
        <v>41</v>
      </c>
      <c r="B45" s="4" t="s">
        <v>194</v>
      </c>
      <c r="C45" s="4" t="s">
        <v>21</v>
      </c>
      <c r="D45" s="4" t="s">
        <v>63</v>
      </c>
      <c r="E45" s="4" t="n">
        <f aca="false">COUNTIF('Reference Log'!$E$2:$E$797,B45)</f>
        <v>3</v>
      </c>
      <c r="F45" s="4" t="n">
        <f aca="false">SUMIFS('Reference Log'!$J$2:$J$797,'Reference Log'!$E$2:$E$797,B45)</f>
        <v>3</v>
      </c>
      <c r="G45" s="5" t="n">
        <f aca="false">_xlfn.MINIFS('Reference Log'!$A$2:$A$797,'Reference Log'!$E$2:$E$797,B45)</f>
        <v>46161</v>
      </c>
      <c r="H45" s="5" t="n">
        <f aca="false">_xlfn.MAXIFS('Reference Log'!$A$2:$A$797,'Reference Log'!$E$2:$E$797,B45)</f>
        <v>46187</v>
      </c>
      <c r="I45" s="5" t="n">
        <f aca="false">_xlfn.MAXIFS('Reference Log'!$D$2:$D$797,'Reference Log'!$E$2:$E$797,B45)</f>
        <v>46175</v>
      </c>
      <c r="J45" s="4" t="s">
        <v>195</v>
      </c>
      <c r="K45" s="4" t="s">
        <v>123</v>
      </c>
      <c r="L45" s="4" t="s">
        <v>124</v>
      </c>
    </row>
    <row r="46" customFormat="false" ht="15" hidden="false" customHeight="false" outlineLevel="0" collapsed="false">
      <c r="A46" s="4" t="n">
        <v>42</v>
      </c>
      <c r="B46" s="4" t="s">
        <v>196</v>
      </c>
      <c r="C46" s="4" t="s">
        <v>44</v>
      </c>
      <c r="D46" s="4" t="s">
        <v>102</v>
      </c>
      <c r="E46" s="4" t="n">
        <f aca="false">COUNTIF('Reference Log'!$E$2:$E$797,B46)</f>
        <v>3</v>
      </c>
      <c r="F46" s="4" t="n">
        <f aca="false">SUMIFS('Reference Log'!$J$2:$J$797,'Reference Log'!$E$2:$E$797,B46)</f>
        <v>3</v>
      </c>
      <c r="G46" s="5" t="n">
        <f aca="false">_xlfn.MINIFS('Reference Log'!$A$2:$A$797,'Reference Log'!$E$2:$E$797,B46)</f>
        <v>46279</v>
      </c>
      <c r="H46" s="5" t="n">
        <f aca="false">_xlfn.MAXIFS('Reference Log'!$A$2:$A$797,'Reference Log'!$E$2:$E$797,B46)</f>
        <v>46311</v>
      </c>
      <c r="I46" s="5" t="n">
        <f aca="false">_xlfn.MAXIFS('Reference Log'!$D$2:$D$797,'Reference Log'!$E$2:$E$797,B46)</f>
        <v>46326</v>
      </c>
      <c r="J46" s="4" t="s">
        <v>197</v>
      </c>
      <c r="K46" s="4" t="s">
        <v>198</v>
      </c>
      <c r="L46" s="4" t="s">
        <v>140</v>
      </c>
    </row>
    <row r="47" customFormat="false" ht="15" hidden="false" customHeight="false" outlineLevel="0" collapsed="false">
      <c r="A47" s="4" t="n">
        <v>43</v>
      </c>
      <c r="B47" s="4" t="s">
        <v>199</v>
      </c>
      <c r="C47" s="4" t="s">
        <v>177</v>
      </c>
      <c r="D47" s="4" t="s">
        <v>200</v>
      </c>
      <c r="E47" s="4" t="n">
        <f aca="false">COUNTIF('Reference Log'!$E$2:$E$797,B47)</f>
        <v>3</v>
      </c>
      <c r="F47" s="4" t="n">
        <f aca="false">SUMIFS('Reference Log'!$J$2:$J$797,'Reference Log'!$E$2:$E$797,B47)</f>
        <v>3</v>
      </c>
      <c r="G47" s="5" t="n">
        <f aca="false">_xlfn.MINIFS('Reference Log'!$A$2:$A$797,'Reference Log'!$E$2:$E$797,B47)</f>
        <v>46214</v>
      </c>
      <c r="H47" s="5" t="n">
        <f aca="false">_xlfn.MAXIFS('Reference Log'!$A$2:$A$797,'Reference Log'!$E$2:$E$797,B47)</f>
        <v>46279</v>
      </c>
      <c r="I47" s="5" t="n">
        <f aca="false">_xlfn.MAXIFS('Reference Log'!$D$2:$D$797,'Reference Log'!$E$2:$E$797,B47)</f>
        <v>46292</v>
      </c>
      <c r="J47" s="4" t="s">
        <v>201</v>
      </c>
      <c r="K47" s="4" t="s">
        <v>202</v>
      </c>
      <c r="L47" s="4" t="s">
        <v>140</v>
      </c>
    </row>
    <row r="48" customFormat="false" ht="15" hidden="false" customHeight="false" outlineLevel="0" collapsed="false">
      <c r="A48" s="4" t="n">
        <v>44</v>
      </c>
      <c r="B48" s="4" t="s">
        <v>203</v>
      </c>
      <c r="C48" s="4" t="s">
        <v>21</v>
      </c>
      <c r="D48" s="4" t="s">
        <v>204</v>
      </c>
      <c r="E48" s="4" t="n">
        <f aca="false">COUNTIF('Reference Log'!$E$2:$E$797,B48)</f>
        <v>3</v>
      </c>
      <c r="F48" s="4" t="n">
        <f aca="false">SUMIFS('Reference Log'!$J$2:$J$797,'Reference Log'!$E$2:$E$797,B48)</f>
        <v>3</v>
      </c>
      <c r="G48" s="5" t="n">
        <f aca="false">_xlfn.MINIFS('Reference Log'!$A$2:$A$797,'Reference Log'!$E$2:$E$797,B48)</f>
        <v>46070</v>
      </c>
      <c r="H48" s="5" t="n">
        <f aca="false">_xlfn.MAXIFS('Reference Log'!$A$2:$A$797,'Reference Log'!$E$2:$E$797,B48)</f>
        <v>46279</v>
      </c>
      <c r="I48" s="5" t="n">
        <f aca="false">_xlfn.MAXIFS('Reference Log'!$D$2:$D$797,'Reference Log'!$E$2:$E$797,B48)</f>
        <v>46289</v>
      </c>
      <c r="J48" s="4" t="s">
        <v>205</v>
      </c>
      <c r="K48" s="4" t="s">
        <v>123</v>
      </c>
      <c r="L48" s="4" t="s">
        <v>124</v>
      </c>
    </row>
    <row r="49" customFormat="false" ht="15" hidden="false" customHeight="false" outlineLevel="0" collapsed="false">
      <c r="A49" s="4" t="n">
        <v>45</v>
      </c>
      <c r="B49" s="4" t="s">
        <v>206</v>
      </c>
      <c r="C49" s="4" t="s">
        <v>21</v>
      </c>
      <c r="D49" s="4" t="s">
        <v>207</v>
      </c>
      <c r="E49" s="4" t="n">
        <f aca="false">COUNTIF('Reference Log'!$E$2:$E$797,B49)</f>
        <v>3</v>
      </c>
      <c r="F49" s="4" t="n">
        <f aca="false">SUMIFS('Reference Log'!$J$2:$J$797,'Reference Log'!$E$2:$E$797,B49)</f>
        <v>3</v>
      </c>
      <c r="G49" s="5" t="n">
        <f aca="false">_xlfn.MINIFS('Reference Log'!$A$2:$A$797,'Reference Log'!$E$2:$E$797,B49)</f>
        <v>46083</v>
      </c>
      <c r="H49" s="5" t="n">
        <f aca="false">_xlfn.MAXIFS('Reference Log'!$A$2:$A$797,'Reference Log'!$E$2:$E$797,B49)</f>
        <v>46161</v>
      </c>
      <c r="I49" s="5" t="n">
        <f aca="false">_xlfn.MAXIFS('Reference Log'!$D$2:$D$797,'Reference Log'!$E$2:$E$797,B49)</f>
        <v>46152</v>
      </c>
      <c r="J49" s="4" t="s">
        <v>208</v>
      </c>
      <c r="K49" s="4" t="s">
        <v>209</v>
      </c>
      <c r="L49" s="4" t="s">
        <v>128</v>
      </c>
    </row>
    <row r="50" customFormat="false" ht="15" hidden="false" customHeight="false" outlineLevel="0" collapsed="false">
      <c r="A50" s="4" t="n">
        <v>46</v>
      </c>
      <c r="B50" s="4" t="s">
        <v>210</v>
      </c>
      <c r="C50" s="4" t="s">
        <v>177</v>
      </c>
      <c r="D50" s="4" t="s">
        <v>39</v>
      </c>
      <c r="E50" s="4" t="n">
        <f aca="false">COUNTIF('Reference Log'!$E$2:$E$797,B50)</f>
        <v>3</v>
      </c>
      <c r="F50" s="4" t="n">
        <f aca="false">SUMIFS('Reference Log'!$J$2:$J$797,'Reference Log'!$E$2:$E$797,B50)</f>
        <v>3</v>
      </c>
      <c r="G50" s="5" t="n">
        <f aca="false">_xlfn.MINIFS('Reference Log'!$A$2:$A$797,'Reference Log'!$E$2:$E$797,B50)</f>
        <v>46070</v>
      </c>
      <c r="H50" s="5" t="n">
        <f aca="false">_xlfn.MAXIFS('Reference Log'!$A$2:$A$797,'Reference Log'!$E$2:$E$797,B50)</f>
        <v>46129</v>
      </c>
      <c r="I50" s="5" t="n">
        <f aca="false">_xlfn.MAXIFS('Reference Log'!$D$2:$D$797,'Reference Log'!$E$2:$E$797,B50)</f>
        <v>46130</v>
      </c>
      <c r="J50" s="4" t="s">
        <v>211</v>
      </c>
      <c r="K50" s="4" t="s">
        <v>123</v>
      </c>
      <c r="L50" s="4" t="s">
        <v>124</v>
      </c>
    </row>
    <row r="51" customFormat="false" ht="15" hidden="false" customHeight="false" outlineLevel="0" collapsed="false">
      <c r="A51" s="4" t="n">
        <v>47</v>
      </c>
      <c r="B51" s="4" t="s">
        <v>212</v>
      </c>
      <c r="C51" s="4" t="s">
        <v>15</v>
      </c>
      <c r="D51" s="4" t="s">
        <v>213</v>
      </c>
      <c r="E51" s="4" t="n">
        <f aca="false">COUNTIF('Reference Log'!$E$2:$E$797,B51)</f>
        <v>3</v>
      </c>
      <c r="F51" s="4" t="n">
        <f aca="false">SUMIFS('Reference Log'!$J$2:$J$797,'Reference Log'!$E$2:$E$797,B51)</f>
        <v>3</v>
      </c>
      <c r="G51" s="5" t="n">
        <f aca="false">_xlfn.MINIFS('Reference Log'!$A$2:$A$797,'Reference Log'!$E$2:$E$797,B51)</f>
        <v>45947</v>
      </c>
      <c r="H51" s="5" t="n">
        <f aca="false">_xlfn.MAXIFS('Reference Log'!$A$2:$A$797,'Reference Log'!$E$2:$E$797,B51)</f>
        <v>46214</v>
      </c>
      <c r="I51" s="5" t="n">
        <f aca="false">_xlfn.MAXIFS('Reference Log'!$D$2:$D$797,'Reference Log'!$E$2:$E$797,B51)</f>
        <v>46217</v>
      </c>
      <c r="J51" s="4" t="s">
        <v>214</v>
      </c>
      <c r="K51" s="4" t="s">
        <v>215</v>
      </c>
      <c r="L51" s="4" t="s">
        <v>128</v>
      </c>
    </row>
    <row r="52" customFormat="false" ht="15" hidden="false" customHeight="false" outlineLevel="0" collapsed="false">
      <c r="A52" s="4" t="n">
        <v>48</v>
      </c>
      <c r="B52" s="4" t="s">
        <v>216</v>
      </c>
      <c r="C52" s="4" t="s">
        <v>15</v>
      </c>
      <c r="D52" s="4" t="s">
        <v>217</v>
      </c>
      <c r="E52" s="4" t="n">
        <f aca="false">COUNTIF('Reference Log'!$E$2:$E$797,B52)</f>
        <v>3</v>
      </c>
      <c r="F52" s="4" t="n">
        <f aca="false">SUMIFS('Reference Log'!$J$2:$J$797,'Reference Log'!$E$2:$E$797,B52)</f>
        <v>3</v>
      </c>
      <c r="G52" s="5" t="n">
        <f aca="false">_xlfn.MINIFS('Reference Log'!$A$2:$A$797,'Reference Log'!$E$2:$E$797,B52)</f>
        <v>45932</v>
      </c>
      <c r="H52" s="5" t="n">
        <f aca="false">_xlfn.MAXIFS('Reference Log'!$A$2:$A$797,'Reference Log'!$E$2:$E$797,B52)</f>
        <v>45992</v>
      </c>
      <c r="I52" s="5" t="n">
        <f aca="false">_xlfn.MAXIFS('Reference Log'!$D$2:$D$797,'Reference Log'!$E$2:$E$797,B52)</f>
        <v>46018</v>
      </c>
      <c r="J52" s="4" t="s">
        <v>218</v>
      </c>
      <c r="K52" s="4" t="s">
        <v>123</v>
      </c>
      <c r="L52" s="4" t="s">
        <v>124</v>
      </c>
    </row>
    <row r="53" customFormat="false" ht="15" hidden="false" customHeight="false" outlineLevel="0" collapsed="false">
      <c r="A53" s="4" t="n">
        <v>49</v>
      </c>
      <c r="B53" s="4" t="s">
        <v>219</v>
      </c>
      <c r="C53" s="4" t="s">
        <v>177</v>
      </c>
      <c r="D53" s="4" t="s">
        <v>142</v>
      </c>
      <c r="E53" s="4" t="n">
        <f aca="false">COUNTIF('Reference Log'!$E$2:$E$797,B53)</f>
        <v>3</v>
      </c>
      <c r="F53" s="4" t="n">
        <f aca="false">SUMIFS('Reference Log'!$J$2:$J$797,'Reference Log'!$E$2:$E$797,B53)</f>
        <v>3</v>
      </c>
      <c r="G53" s="5" t="n">
        <f aca="false">_xlfn.MINIFS('Reference Log'!$A$2:$A$797,'Reference Log'!$E$2:$E$797,B53)</f>
        <v>46129</v>
      </c>
      <c r="H53" s="5" t="n">
        <f aca="false">_xlfn.MAXIFS('Reference Log'!$A$2:$A$797,'Reference Log'!$E$2:$E$797,B53)</f>
        <v>46161</v>
      </c>
      <c r="I53" s="5" t="n">
        <f aca="false">_xlfn.MAXIFS('Reference Log'!$D$2:$D$797,'Reference Log'!$E$2:$E$797,B53)</f>
        <v>46156</v>
      </c>
      <c r="J53" s="4" t="s">
        <v>220</v>
      </c>
      <c r="K53" s="4" t="s">
        <v>221</v>
      </c>
      <c r="L53" s="4" t="s">
        <v>160</v>
      </c>
    </row>
    <row r="54" customFormat="false" ht="15" hidden="false" customHeight="false" outlineLevel="0" collapsed="false">
      <c r="A54" s="4" t="n">
        <v>50</v>
      </c>
      <c r="B54" s="4" t="s">
        <v>222</v>
      </c>
      <c r="C54" s="4" t="s">
        <v>154</v>
      </c>
      <c r="D54" s="4" t="s">
        <v>223</v>
      </c>
      <c r="E54" s="4" t="n">
        <f aca="false">COUNTIF('Reference Log'!$E$2:$E$797,B54)</f>
        <v>3</v>
      </c>
      <c r="F54" s="4" t="n">
        <f aca="false">SUMIFS('Reference Log'!$J$2:$J$797,'Reference Log'!$E$2:$E$797,B54)</f>
        <v>3</v>
      </c>
      <c r="G54" s="5" t="n">
        <f aca="false">_xlfn.MINIFS('Reference Log'!$A$2:$A$797,'Reference Log'!$E$2:$E$797,B54)</f>
        <v>46161</v>
      </c>
      <c r="H54" s="5" t="n">
        <f aca="false">_xlfn.MAXIFS('Reference Log'!$A$2:$A$797,'Reference Log'!$E$2:$E$797,B54)</f>
        <v>46311</v>
      </c>
      <c r="I54" s="5" t="n">
        <f aca="false">_xlfn.MAXIFS('Reference Log'!$D$2:$D$797,'Reference Log'!$E$2:$E$797,B54)</f>
        <v>46325</v>
      </c>
      <c r="J54" s="4" t="s">
        <v>224</v>
      </c>
      <c r="K54" s="4" t="s">
        <v>225</v>
      </c>
      <c r="L54" s="4" t="s">
        <v>226</v>
      </c>
    </row>
    <row r="55" customFormat="false" ht="15" hidden="false" customHeight="false" outlineLevel="0" collapsed="false">
      <c r="A55" s="4" t="n">
        <v>51</v>
      </c>
      <c r="B55" s="4" t="s">
        <v>227</v>
      </c>
      <c r="C55" s="4" t="s">
        <v>87</v>
      </c>
      <c r="D55" s="4" t="s">
        <v>54</v>
      </c>
      <c r="E55" s="4" t="n">
        <f aca="false">COUNTIF('Reference Log'!$E$2:$E$797,B55)</f>
        <v>3</v>
      </c>
      <c r="F55" s="4" t="n">
        <f aca="false">SUMIFS('Reference Log'!$J$2:$J$797,'Reference Log'!$E$2:$E$797,B55)</f>
        <v>3</v>
      </c>
      <c r="G55" s="5" t="n">
        <f aca="false">_xlfn.MINIFS('Reference Log'!$A$2:$A$797,'Reference Log'!$E$2:$E$797,B55)</f>
        <v>46055</v>
      </c>
      <c r="H55" s="5" t="n">
        <f aca="false">_xlfn.MAXIFS('Reference Log'!$A$2:$A$797,'Reference Log'!$E$2:$E$797,B55)</f>
        <v>46266</v>
      </c>
      <c r="I55" s="5" t="n">
        <f aca="false">_xlfn.MAXIFS('Reference Log'!$D$2:$D$797,'Reference Log'!$E$2:$E$797,B55)</f>
        <v>46275</v>
      </c>
      <c r="J55" s="4" t="s">
        <v>228</v>
      </c>
      <c r="K55" s="4" t="s">
        <v>229</v>
      </c>
      <c r="L55" s="4" t="s">
        <v>160</v>
      </c>
    </row>
    <row r="56" customFormat="false" ht="15" hidden="false" customHeight="false" outlineLevel="0" collapsed="false">
      <c r="A56" s="4" t="n">
        <v>52</v>
      </c>
      <c r="B56" s="4" t="s">
        <v>230</v>
      </c>
      <c r="C56" s="4" t="s">
        <v>177</v>
      </c>
      <c r="D56" s="4" t="s">
        <v>155</v>
      </c>
      <c r="E56" s="4" t="n">
        <f aca="false">COUNTIF('Reference Log'!$E$2:$E$797,B56)</f>
        <v>3</v>
      </c>
      <c r="F56" s="4" t="n">
        <f aca="false">SUMIFS('Reference Log'!$J$2:$J$797,'Reference Log'!$E$2:$E$797,B56)</f>
        <v>3</v>
      </c>
      <c r="G56" s="5" t="n">
        <f aca="false">_xlfn.MINIFS('Reference Log'!$A$2:$A$797,'Reference Log'!$E$2:$E$797,B56)</f>
        <v>46055</v>
      </c>
      <c r="H56" s="5" t="n">
        <f aca="false">_xlfn.MAXIFS('Reference Log'!$A$2:$A$797,'Reference Log'!$E$2:$E$797,B56)</f>
        <v>46235</v>
      </c>
      <c r="I56" s="5" t="n">
        <f aca="false">_xlfn.MAXIFS('Reference Log'!$D$2:$D$797,'Reference Log'!$E$2:$E$797,B56)</f>
        <v>46241</v>
      </c>
      <c r="J56" s="4" t="s">
        <v>231</v>
      </c>
      <c r="K56" s="4" t="s">
        <v>232</v>
      </c>
      <c r="L56" s="4" t="s">
        <v>226</v>
      </c>
    </row>
    <row r="57" customFormat="false" ht="15" hidden="false" customHeight="false" outlineLevel="0" collapsed="false">
      <c r="A57" s="4" t="n">
        <v>53</v>
      </c>
      <c r="B57" s="4" t="s">
        <v>233</v>
      </c>
      <c r="C57" s="4" t="s">
        <v>107</v>
      </c>
      <c r="D57" s="4" t="s">
        <v>39</v>
      </c>
      <c r="E57" s="4" t="n">
        <f aca="false">COUNTIF('Reference Log'!$E$2:$E$797,B57)</f>
        <v>3</v>
      </c>
      <c r="F57" s="4" t="n">
        <f aca="false">SUMIFS('Reference Log'!$J$2:$J$797,'Reference Log'!$E$2:$E$797,B57)</f>
        <v>3</v>
      </c>
      <c r="G57" s="5" t="n">
        <f aca="false">_xlfn.MINIFS('Reference Log'!$A$2:$A$797,'Reference Log'!$E$2:$E$797,B57)</f>
        <v>46129</v>
      </c>
      <c r="H57" s="5" t="n">
        <f aca="false">_xlfn.MAXIFS('Reference Log'!$A$2:$A$797,'Reference Log'!$E$2:$E$797,B57)</f>
        <v>46161</v>
      </c>
      <c r="I57" s="5" t="n">
        <f aca="false">_xlfn.MAXIFS('Reference Log'!$D$2:$D$797,'Reference Log'!$E$2:$E$797,B57)</f>
        <v>46151</v>
      </c>
      <c r="J57" s="4" t="s">
        <v>234</v>
      </c>
      <c r="K57" s="4" t="s">
        <v>123</v>
      </c>
      <c r="L57" s="4" t="s">
        <v>124</v>
      </c>
    </row>
    <row r="58" customFormat="false" ht="15" hidden="false" customHeight="false" outlineLevel="0" collapsed="false">
      <c r="A58" s="4" t="n">
        <v>54</v>
      </c>
      <c r="B58" s="4" t="s">
        <v>235</v>
      </c>
      <c r="C58" s="4" t="s">
        <v>21</v>
      </c>
      <c r="D58" s="4" t="s">
        <v>39</v>
      </c>
      <c r="E58" s="4" t="n">
        <f aca="false">COUNTIF('Reference Log'!$E$2:$E$797,B58)</f>
        <v>3</v>
      </c>
      <c r="F58" s="4" t="n">
        <f aca="false">SUMIFS('Reference Log'!$J$2:$J$797,'Reference Log'!$E$2:$E$797,B58)</f>
        <v>3</v>
      </c>
      <c r="G58" s="5" t="n">
        <f aca="false">_xlfn.MINIFS('Reference Log'!$A$2:$A$797,'Reference Log'!$E$2:$E$797,B58)</f>
        <v>46083</v>
      </c>
      <c r="H58" s="5" t="n">
        <f aca="false">_xlfn.MAXIFS('Reference Log'!$A$2:$A$797,'Reference Log'!$E$2:$E$797,B58)</f>
        <v>46249</v>
      </c>
      <c r="I58" s="5" t="n">
        <f aca="false">_xlfn.MAXIFS('Reference Log'!$D$2:$D$797,'Reference Log'!$E$2:$E$797,B58)</f>
        <v>46249</v>
      </c>
      <c r="J58" s="4" t="s">
        <v>236</v>
      </c>
      <c r="K58" s="4" t="s">
        <v>237</v>
      </c>
      <c r="L58" s="4" t="s">
        <v>91</v>
      </c>
    </row>
    <row r="59" customFormat="false" ht="15" hidden="false" customHeight="false" outlineLevel="0" collapsed="false">
      <c r="A59" s="4" t="n">
        <v>55</v>
      </c>
      <c r="B59" s="4" t="s">
        <v>238</v>
      </c>
      <c r="C59" s="4" t="s">
        <v>107</v>
      </c>
      <c r="D59" s="4" t="s">
        <v>155</v>
      </c>
      <c r="E59" s="4" t="n">
        <f aca="false">COUNTIF('Reference Log'!$E$2:$E$797,B59)</f>
        <v>3</v>
      </c>
      <c r="F59" s="4" t="n">
        <f aca="false">SUMIFS('Reference Log'!$J$2:$J$797,'Reference Log'!$E$2:$E$797,B59)</f>
        <v>3</v>
      </c>
      <c r="G59" s="5" t="n">
        <f aca="false">_xlfn.MINIFS('Reference Log'!$A$2:$A$797,'Reference Log'!$E$2:$E$797,B59)</f>
        <v>46161</v>
      </c>
      <c r="H59" s="5" t="n">
        <f aca="false">_xlfn.MAXIFS('Reference Log'!$A$2:$A$797,'Reference Log'!$E$2:$E$797,B59)</f>
        <v>46187</v>
      </c>
      <c r="I59" s="5" t="n">
        <f aca="false">_xlfn.MAXIFS('Reference Log'!$D$2:$D$797,'Reference Log'!$E$2:$E$797,B59)</f>
        <v>46199</v>
      </c>
      <c r="J59" s="4" t="s">
        <v>239</v>
      </c>
      <c r="K59" s="4" t="s">
        <v>123</v>
      </c>
      <c r="L59" s="4" t="s">
        <v>124</v>
      </c>
    </row>
    <row r="60" customFormat="false" ht="15" hidden="false" customHeight="false" outlineLevel="0" collapsed="false">
      <c r="A60" s="4" t="n">
        <v>56</v>
      </c>
      <c r="B60" s="4" t="s">
        <v>240</v>
      </c>
      <c r="C60" s="4" t="s">
        <v>177</v>
      </c>
      <c r="D60" s="4" t="s">
        <v>39</v>
      </c>
      <c r="E60" s="4" t="n">
        <f aca="false">COUNTIF('Reference Log'!$E$2:$E$797,B60)</f>
        <v>3</v>
      </c>
      <c r="F60" s="4" t="n">
        <f aca="false">SUMIFS('Reference Log'!$J$2:$J$797,'Reference Log'!$E$2:$E$797,B60)</f>
        <v>3</v>
      </c>
      <c r="G60" s="5" t="n">
        <f aca="false">_xlfn.MINIFS('Reference Log'!$A$2:$A$797,'Reference Log'!$E$2:$E$797,B60)</f>
        <v>46129</v>
      </c>
      <c r="H60" s="5" t="n">
        <f aca="false">_xlfn.MAXIFS('Reference Log'!$A$2:$A$797,'Reference Log'!$E$2:$E$797,B60)</f>
        <v>46161</v>
      </c>
      <c r="I60" s="5" t="n">
        <f aca="false">_xlfn.MAXIFS('Reference Log'!$D$2:$D$797,'Reference Log'!$E$2:$E$797,B60)</f>
        <v>46143</v>
      </c>
      <c r="J60" s="4" t="s">
        <v>241</v>
      </c>
      <c r="K60" s="4" t="s">
        <v>242</v>
      </c>
      <c r="L60" s="4" t="s">
        <v>140</v>
      </c>
    </row>
    <row r="61" customFormat="false" ht="15" hidden="false" customHeight="false" outlineLevel="0" collapsed="false">
      <c r="A61" s="4" t="n">
        <v>57</v>
      </c>
      <c r="B61" s="4" t="s">
        <v>243</v>
      </c>
      <c r="C61" s="4" t="s">
        <v>177</v>
      </c>
      <c r="D61" s="4" t="s">
        <v>244</v>
      </c>
      <c r="E61" s="4" t="n">
        <f aca="false">COUNTIF('Reference Log'!$E$2:$E$797,B61)</f>
        <v>3</v>
      </c>
      <c r="F61" s="4" t="n">
        <f aca="false">SUMIFS('Reference Log'!$J$2:$J$797,'Reference Log'!$E$2:$E$797,B61)</f>
        <v>3</v>
      </c>
      <c r="G61" s="5" t="n">
        <f aca="false">_xlfn.MINIFS('Reference Log'!$A$2:$A$797,'Reference Log'!$E$2:$E$797,B61)</f>
        <v>46266</v>
      </c>
      <c r="H61" s="5" t="n">
        <f aca="false">_xlfn.MAXIFS('Reference Log'!$A$2:$A$797,'Reference Log'!$E$2:$E$797,B61)</f>
        <v>46296</v>
      </c>
      <c r="I61" s="5" t="n">
        <f aca="false">_xlfn.MAXIFS('Reference Log'!$D$2:$D$797,'Reference Log'!$E$2:$E$797,B61)</f>
        <v>46302</v>
      </c>
      <c r="J61" s="4" t="s">
        <v>245</v>
      </c>
      <c r="K61" s="4" t="s">
        <v>246</v>
      </c>
      <c r="L61" s="4" t="s">
        <v>140</v>
      </c>
    </row>
    <row r="62" customFormat="false" ht="15" hidden="false" customHeight="false" outlineLevel="0" collapsed="false">
      <c r="A62" s="6" t="n">
        <v>58</v>
      </c>
      <c r="B62" s="6" t="s">
        <v>247</v>
      </c>
      <c r="C62" s="6" t="s">
        <v>33</v>
      </c>
      <c r="D62" s="6" t="s">
        <v>248</v>
      </c>
      <c r="E62" s="6" t="n">
        <f aca="false">COUNTIF('Reference Log'!$E$2:$E$797,B62)</f>
        <v>3</v>
      </c>
      <c r="F62" s="6" t="n">
        <f aca="false">SUMIFS('Reference Log'!$J$2:$J$797,'Reference Log'!$E$2:$E$797,B62)</f>
        <v>3</v>
      </c>
      <c r="G62" s="7" t="n">
        <f aca="false">_xlfn.MINIFS('Reference Log'!$A$2:$A$797,'Reference Log'!$E$2:$E$797,B62)</f>
        <v>46129</v>
      </c>
      <c r="H62" s="7" t="n">
        <f aca="false">_xlfn.MAXIFS('Reference Log'!$A$2:$A$797,'Reference Log'!$E$2:$E$797,B62)</f>
        <v>46266</v>
      </c>
      <c r="I62" s="7" t="n">
        <f aca="false">_xlfn.MAXIFS('Reference Log'!$D$2:$D$797,'Reference Log'!$E$2:$E$797,B62)</f>
        <v>46277</v>
      </c>
      <c r="J62" s="6" t="s">
        <v>249</v>
      </c>
      <c r="K62" s="6" t="s">
        <v>250</v>
      </c>
      <c r="L62" s="6" t="s">
        <v>251</v>
      </c>
    </row>
    <row r="63" customFormat="false" ht="15" hidden="false" customHeight="false" outlineLevel="0" collapsed="false">
      <c r="A63" s="6" t="n">
        <v>59</v>
      </c>
      <c r="B63" s="6" t="s">
        <v>252</v>
      </c>
      <c r="C63" s="6" t="s">
        <v>33</v>
      </c>
      <c r="D63" s="6" t="s">
        <v>253</v>
      </c>
      <c r="E63" s="6" t="n">
        <f aca="false">COUNTIF('Reference Log'!$E$2:$E$797,B63)</f>
        <v>3</v>
      </c>
      <c r="F63" s="6" t="n">
        <f aca="false">SUMIFS('Reference Log'!$J$2:$J$797,'Reference Log'!$E$2:$E$797,B63)</f>
        <v>3</v>
      </c>
      <c r="G63" s="7" t="n">
        <f aca="false">_xlfn.MINIFS('Reference Log'!$A$2:$A$797,'Reference Log'!$E$2:$E$797,B63)</f>
        <v>46083</v>
      </c>
      <c r="H63" s="7" t="n">
        <f aca="false">_xlfn.MAXIFS('Reference Log'!$A$2:$A$797,'Reference Log'!$E$2:$E$797,B63)</f>
        <v>46161</v>
      </c>
      <c r="I63" s="7" t="n">
        <f aca="false">_xlfn.MAXIFS('Reference Log'!$D$2:$D$797,'Reference Log'!$E$2:$E$797,B63)</f>
        <v>46154</v>
      </c>
      <c r="J63" s="6" t="s">
        <v>254</v>
      </c>
      <c r="K63" s="6" t="s">
        <v>215</v>
      </c>
      <c r="L63" s="6" t="s">
        <v>128</v>
      </c>
    </row>
    <row r="64" customFormat="false" ht="15" hidden="false" customHeight="false" outlineLevel="0" collapsed="false">
      <c r="A64" s="6" t="n">
        <v>60</v>
      </c>
      <c r="B64" s="6" t="s">
        <v>255</v>
      </c>
      <c r="C64" s="6" t="s">
        <v>33</v>
      </c>
      <c r="D64" s="6" t="s">
        <v>256</v>
      </c>
      <c r="E64" s="6" t="n">
        <f aca="false">COUNTIF('Reference Log'!$E$2:$E$797,B64)</f>
        <v>3</v>
      </c>
      <c r="F64" s="6" t="n">
        <f aca="false">SUMIFS('Reference Log'!$J$2:$J$797,'Reference Log'!$E$2:$E$797,B64)</f>
        <v>3</v>
      </c>
      <c r="G64" s="7" t="n">
        <f aca="false">_xlfn.MINIFS('Reference Log'!$A$2:$A$797,'Reference Log'!$E$2:$E$797,B64)</f>
        <v>45992</v>
      </c>
      <c r="H64" s="7" t="n">
        <f aca="false">_xlfn.MAXIFS('Reference Log'!$A$2:$A$797,'Reference Log'!$E$2:$E$797,B64)</f>
        <v>46296</v>
      </c>
      <c r="I64" s="7" t="n">
        <f aca="false">_xlfn.MAXIFS('Reference Log'!$D$2:$D$797,'Reference Log'!$E$2:$E$797,B64)</f>
        <v>46320</v>
      </c>
      <c r="J64" s="6" t="s">
        <v>257</v>
      </c>
      <c r="K64" s="6" t="s">
        <v>258</v>
      </c>
      <c r="L64" s="6" t="s">
        <v>251</v>
      </c>
    </row>
    <row r="65" customFormat="false" ht="15" hidden="false" customHeight="false" outlineLevel="0" collapsed="false">
      <c r="A65" s="4" t="n">
        <v>61</v>
      </c>
      <c r="B65" s="4" t="s">
        <v>259</v>
      </c>
      <c r="C65" s="4" t="s">
        <v>107</v>
      </c>
      <c r="D65" s="4" t="s">
        <v>147</v>
      </c>
      <c r="E65" s="4" t="n">
        <f aca="false">COUNTIF('Reference Log'!$E$2:$E$797,B65)</f>
        <v>3</v>
      </c>
      <c r="F65" s="4" t="n">
        <f aca="false">SUMIFS('Reference Log'!$J$2:$J$797,'Reference Log'!$E$2:$E$797,B65)</f>
        <v>2</v>
      </c>
      <c r="G65" s="5" t="n">
        <f aca="false">_xlfn.MINIFS('Reference Log'!$A$2:$A$797,'Reference Log'!$E$2:$E$797,B65)</f>
        <v>46143</v>
      </c>
      <c r="H65" s="5" t="n">
        <f aca="false">_xlfn.MAXIFS('Reference Log'!$A$2:$A$797,'Reference Log'!$E$2:$E$797,B65)</f>
        <v>46161</v>
      </c>
      <c r="I65" s="5" t="n">
        <f aca="false">_xlfn.MAXIFS('Reference Log'!$D$2:$D$797,'Reference Log'!$E$2:$E$797,B65)</f>
        <v>46160</v>
      </c>
      <c r="J65" s="4" t="s">
        <v>260</v>
      </c>
      <c r="K65" s="4" t="s">
        <v>261</v>
      </c>
      <c r="L65" s="4" t="s">
        <v>251</v>
      </c>
    </row>
    <row r="66" customFormat="false" ht="15" hidden="false" customHeight="false" outlineLevel="0" collapsed="false">
      <c r="A66" s="4" t="n">
        <v>62</v>
      </c>
      <c r="B66" s="4" t="s">
        <v>262</v>
      </c>
      <c r="C66" s="4" t="s">
        <v>177</v>
      </c>
      <c r="D66" s="4" t="s">
        <v>263</v>
      </c>
      <c r="E66" s="4" t="n">
        <f aca="false">COUNTIF('Reference Log'!$E$2:$E$797,B66)</f>
        <v>3</v>
      </c>
      <c r="F66" s="4" t="n">
        <f aca="false">SUMIFS('Reference Log'!$J$2:$J$797,'Reference Log'!$E$2:$E$797,B66)</f>
        <v>2</v>
      </c>
      <c r="G66" s="5" t="n">
        <f aca="false">_xlfn.MINIFS('Reference Log'!$A$2:$A$797,'Reference Log'!$E$2:$E$797,B66)</f>
        <v>46296</v>
      </c>
      <c r="H66" s="5" t="n">
        <f aca="false">_xlfn.MAXIFS('Reference Log'!$A$2:$A$797,'Reference Log'!$E$2:$E$797,B66)</f>
        <v>46311</v>
      </c>
      <c r="I66" s="5" t="n">
        <f aca="false">_xlfn.MAXIFS('Reference Log'!$D$2:$D$797,'Reference Log'!$E$2:$E$797,B66)</f>
        <v>46329</v>
      </c>
      <c r="J66" s="4" t="s">
        <v>264</v>
      </c>
      <c r="K66" s="4" t="s">
        <v>265</v>
      </c>
      <c r="L66" s="4" t="s">
        <v>160</v>
      </c>
    </row>
    <row r="67" customFormat="false" ht="15" hidden="false" customHeight="false" outlineLevel="0" collapsed="false">
      <c r="A67" s="6" t="n">
        <v>63</v>
      </c>
      <c r="B67" s="6" t="s">
        <v>266</v>
      </c>
      <c r="C67" s="6" t="s">
        <v>33</v>
      </c>
      <c r="D67" s="6" t="s">
        <v>267</v>
      </c>
      <c r="E67" s="6" t="n">
        <f aca="false">COUNTIF('Reference Log'!$E$2:$E$797,B67)</f>
        <v>3</v>
      </c>
      <c r="F67" s="6" t="n">
        <f aca="false">SUMIFS('Reference Log'!$J$2:$J$797,'Reference Log'!$E$2:$E$797,B67)</f>
        <v>2</v>
      </c>
      <c r="G67" s="7" t="n">
        <f aca="false">_xlfn.MINIFS('Reference Log'!$A$2:$A$797,'Reference Log'!$E$2:$E$797,B67)</f>
        <v>46279</v>
      </c>
      <c r="H67" s="7" t="n">
        <f aca="false">_xlfn.MAXIFS('Reference Log'!$A$2:$A$797,'Reference Log'!$E$2:$E$797,B67)</f>
        <v>46296</v>
      </c>
      <c r="I67" s="7" t="n">
        <f aca="false">_xlfn.MAXIFS('Reference Log'!$D$2:$D$797,'Reference Log'!$E$2:$E$797,B67)</f>
        <v>46335</v>
      </c>
      <c r="J67" s="6" t="s">
        <v>268</v>
      </c>
      <c r="K67" s="6" t="s">
        <v>36</v>
      </c>
      <c r="L67" s="6" t="s">
        <v>140</v>
      </c>
    </row>
    <row r="68" customFormat="false" ht="15" hidden="false" customHeight="false" outlineLevel="0" collapsed="false">
      <c r="A68" s="4" t="n">
        <v>64</v>
      </c>
      <c r="B68" s="4" t="s">
        <v>269</v>
      </c>
      <c r="C68" s="4" t="s">
        <v>177</v>
      </c>
      <c r="D68" s="4" t="s">
        <v>217</v>
      </c>
      <c r="E68" s="4" t="n">
        <f aca="false">COUNTIF('Reference Log'!$E$2:$E$797,B68)</f>
        <v>2</v>
      </c>
      <c r="F68" s="4" t="n">
        <f aca="false">SUMIFS('Reference Log'!$J$2:$J$797,'Reference Log'!$E$2:$E$797,B68)</f>
        <v>2</v>
      </c>
      <c r="G68" s="5" t="n">
        <f aca="false">_xlfn.MINIFS('Reference Log'!$A$2:$A$797,'Reference Log'!$E$2:$E$797,B68)</f>
        <v>46296</v>
      </c>
      <c r="H68" s="5" t="n">
        <f aca="false">_xlfn.MAXIFS('Reference Log'!$A$2:$A$797,'Reference Log'!$E$2:$E$797,B68)</f>
        <v>46311</v>
      </c>
      <c r="I68" s="5" t="n">
        <f aca="false">_xlfn.MAXIFS('Reference Log'!$D$2:$D$797,'Reference Log'!$E$2:$E$797,B68)</f>
        <v>46324</v>
      </c>
      <c r="J68" s="4" t="s">
        <v>270</v>
      </c>
      <c r="K68" s="4" t="s">
        <v>271</v>
      </c>
      <c r="L68" s="4" t="s">
        <v>160</v>
      </c>
    </row>
    <row r="69" customFormat="false" ht="15" hidden="false" customHeight="false" outlineLevel="0" collapsed="false">
      <c r="A69" s="4" t="n">
        <v>65</v>
      </c>
      <c r="B69" s="4" t="s">
        <v>272</v>
      </c>
      <c r="C69" s="4" t="s">
        <v>15</v>
      </c>
      <c r="D69" s="4" t="s">
        <v>273</v>
      </c>
      <c r="E69" s="4" t="n">
        <f aca="false">COUNTIF('Reference Log'!$E$2:$E$797,B69)</f>
        <v>2</v>
      </c>
      <c r="F69" s="4" t="n">
        <f aca="false">SUMIFS('Reference Log'!$J$2:$J$797,'Reference Log'!$E$2:$E$797,B69)</f>
        <v>2</v>
      </c>
      <c r="G69" s="5" t="n">
        <f aca="false">_xlfn.MINIFS('Reference Log'!$A$2:$A$797,'Reference Log'!$E$2:$E$797,B69)</f>
        <v>46235</v>
      </c>
      <c r="H69" s="5" t="n">
        <f aca="false">_xlfn.MAXIFS('Reference Log'!$A$2:$A$797,'Reference Log'!$E$2:$E$797,B69)</f>
        <v>46249</v>
      </c>
      <c r="I69" s="5" t="n">
        <f aca="false">_xlfn.MAXIFS('Reference Log'!$D$2:$D$797,'Reference Log'!$E$2:$E$797,B69)</f>
        <v>46250</v>
      </c>
      <c r="J69" s="4" t="s">
        <v>274</v>
      </c>
      <c r="K69" s="4" t="s">
        <v>275</v>
      </c>
      <c r="L69" s="4" t="s">
        <v>160</v>
      </c>
    </row>
    <row r="70" customFormat="false" ht="15" hidden="false" customHeight="false" outlineLevel="0" collapsed="false">
      <c r="A70" s="4" t="n">
        <v>66</v>
      </c>
      <c r="B70" s="4" t="s">
        <v>276</v>
      </c>
      <c r="C70" s="4" t="s">
        <v>21</v>
      </c>
      <c r="D70" s="4" t="s">
        <v>28</v>
      </c>
      <c r="E70" s="4" t="n">
        <f aca="false">COUNTIF('Reference Log'!$E$2:$E$797,B70)</f>
        <v>2</v>
      </c>
      <c r="F70" s="4" t="n">
        <f aca="false">SUMIFS('Reference Log'!$J$2:$J$797,'Reference Log'!$E$2:$E$797,B70)</f>
        <v>2</v>
      </c>
      <c r="G70" s="5" t="n">
        <f aca="false">_xlfn.MINIFS('Reference Log'!$A$2:$A$797,'Reference Log'!$E$2:$E$797,B70)</f>
        <v>46214</v>
      </c>
      <c r="H70" s="5" t="n">
        <f aca="false">_xlfn.MAXIFS('Reference Log'!$A$2:$A$797,'Reference Log'!$E$2:$E$797,B70)</f>
        <v>46235</v>
      </c>
      <c r="I70" s="5" t="n">
        <f aca="false">_xlfn.MAXIFS('Reference Log'!$D$2:$D$797,'Reference Log'!$E$2:$E$797,B70)</f>
        <v>46245</v>
      </c>
      <c r="J70" s="4" t="s">
        <v>277</v>
      </c>
      <c r="K70" s="4" t="s">
        <v>198</v>
      </c>
      <c r="L70" s="4" t="s">
        <v>160</v>
      </c>
    </row>
    <row r="71" customFormat="false" ht="15" hidden="false" customHeight="false" outlineLevel="0" collapsed="false">
      <c r="A71" s="4" t="n">
        <v>67</v>
      </c>
      <c r="B71" s="4" t="s">
        <v>278</v>
      </c>
      <c r="C71" s="4" t="s">
        <v>107</v>
      </c>
      <c r="D71" s="4" t="s">
        <v>39</v>
      </c>
      <c r="E71" s="4" t="n">
        <f aca="false">COUNTIF('Reference Log'!$E$2:$E$797,B71)</f>
        <v>2</v>
      </c>
      <c r="F71" s="4" t="n">
        <f aca="false">SUMIFS('Reference Log'!$J$2:$J$797,'Reference Log'!$E$2:$E$797,B71)</f>
        <v>2</v>
      </c>
      <c r="G71" s="5" t="n">
        <f aca="false">_xlfn.MINIFS('Reference Log'!$A$2:$A$797,'Reference Log'!$E$2:$E$797,B71)</f>
        <v>46174</v>
      </c>
      <c r="H71" s="5" t="n">
        <f aca="false">_xlfn.MAXIFS('Reference Log'!$A$2:$A$797,'Reference Log'!$E$2:$E$797,B71)</f>
        <v>46187</v>
      </c>
      <c r="I71" s="5" t="n">
        <f aca="false">_xlfn.MAXIFS('Reference Log'!$D$2:$D$797,'Reference Log'!$E$2:$E$797,B71)</f>
        <v>46175</v>
      </c>
      <c r="J71" s="4" t="s">
        <v>279</v>
      </c>
      <c r="K71" s="4" t="s">
        <v>280</v>
      </c>
      <c r="L71" s="4" t="s">
        <v>128</v>
      </c>
    </row>
    <row r="72" customFormat="false" ht="15" hidden="false" customHeight="false" outlineLevel="0" collapsed="false">
      <c r="A72" s="4" t="n">
        <v>68</v>
      </c>
      <c r="B72" s="4" t="s">
        <v>281</v>
      </c>
      <c r="C72" s="4" t="s">
        <v>282</v>
      </c>
      <c r="D72" s="4" t="s">
        <v>16</v>
      </c>
      <c r="E72" s="4" t="n">
        <f aca="false">COUNTIF('Reference Log'!$E$2:$E$797,B72)</f>
        <v>2</v>
      </c>
      <c r="F72" s="4" t="n">
        <f aca="false">SUMIFS('Reference Log'!$J$2:$J$797,'Reference Log'!$E$2:$E$797,B72)</f>
        <v>2</v>
      </c>
      <c r="G72" s="5" t="n">
        <f aca="false">_xlfn.MINIFS('Reference Log'!$A$2:$A$797,'Reference Log'!$E$2:$E$797,B72)</f>
        <v>46235</v>
      </c>
      <c r="H72" s="5" t="n">
        <f aca="false">_xlfn.MAXIFS('Reference Log'!$A$2:$A$797,'Reference Log'!$E$2:$E$797,B72)</f>
        <v>46249</v>
      </c>
      <c r="I72" s="5" t="n">
        <f aca="false">_xlfn.MAXIFS('Reference Log'!$D$2:$D$797,'Reference Log'!$E$2:$E$797,B72)</f>
        <v>46250</v>
      </c>
      <c r="J72" s="4" t="s">
        <v>283</v>
      </c>
      <c r="K72" s="4" t="s">
        <v>284</v>
      </c>
      <c r="L72" s="4" t="s">
        <v>160</v>
      </c>
    </row>
    <row r="73" customFormat="false" ht="15" hidden="false" customHeight="false" outlineLevel="0" collapsed="false">
      <c r="A73" s="4" t="n">
        <v>69</v>
      </c>
      <c r="B73" s="4" t="s">
        <v>285</v>
      </c>
      <c r="C73" s="4" t="s">
        <v>107</v>
      </c>
      <c r="D73" s="4" t="s">
        <v>286</v>
      </c>
      <c r="E73" s="4" t="n">
        <f aca="false">COUNTIF('Reference Log'!$E$2:$E$797,B73)</f>
        <v>2</v>
      </c>
      <c r="F73" s="4" t="n">
        <f aca="false">SUMIFS('Reference Log'!$J$2:$J$797,'Reference Log'!$E$2:$E$797,B73)</f>
        <v>2</v>
      </c>
      <c r="G73" s="5" t="n">
        <f aca="false">_xlfn.MINIFS('Reference Log'!$A$2:$A$797,'Reference Log'!$E$2:$E$797,B73)</f>
        <v>46266</v>
      </c>
      <c r="H73" s="5" t="n">
        <f aca="false">_xlfn.MAXIFS('Reference Log'!$A$2:$A$797,'Reference Log'!$E$2:$E$797,B73)</f>
        <v>46279</v>
      </c>
      <c r="I73" s="5" t="n">
        <f aca="false">_xlfn.MAXIFS('Reference Log'!$D$2:$D$797,'Reference Log'!$E$2:$E$797,B73)</f>
        <v>46287</v>
      </c>
      <c r="J73" s="4" t="s">
        <v>287</v>
      </c>
      <c r="K73" s="4" t="s">
        <v>287</v>
      </c>
      <c r="L73" s="4" t="s">
        <v>160</v>
      </c>
    </row>
    <row r="74" customFormat="false" ht="15" hidden="false" customHeight="false" outlineLevel="0" collapsed="false">
      <c r="A74" s="4" t="n">
        <v>70</v>
      </c>
      <c r="B74" s="4" t="s">
        <v>288</v>
      </c>
      <c r="C74" s="4" t="s">
        <v>15</v>
      </c>
      <c r="D74" s="4" t="s">
        <v>289</v>
      </c>
      <c r="E74" s="4" t="n">
        <f aca="false">COUNTIF('Reference Log'!$E$2:$E$797,B74)</f>
        <v>2</v>
      </c>
      <c r="F74" s="4" t="n">
        <f aca="false">SUMIFS('Reference Log'!$J$2:$J$797,'Reference Log'!$E$2:$E$797,B74)</f>
        <v>2</v>
      </c>
      <c r="G74" s="5" t="n">
        <f aca="false">_xlfn.MINIFS('Reference Log'!$A$2:$A$797,'Reference Log'!$E$2:$E$797,B74)</f>
        <v>46266</v>
      </c>
      <c r="H74" s="5" t="n">
        <f aca="false">_xlfn.MAXIFS('Reference Log'!$A$2:$A$797,'Reference Log'!$E$2:$E$797,B74)</f>
        <v>46279</v>
      </c>
      <c r="I74" s="5" t="n">
        <f aca="false">_xlfn.MAXIFS('Reference Log'!$D$2:$D$797,'Reference Log'!$E$2:$E$797,B74)</f>
        <v>46285</v>
      </c>
      <c r="J74" s="4" t="s">
        <v>290</v>
      </c>
      <c r="K74" s="4" t="s">
        <v>275</v>
      </c>
      <c r="L74" s="4" t="s">
        <v>160</v>
      </c>
    </row>
    <row r="75" customFormat="false" ht="15" hidden="false" customHeight="false" outlineLevel="0" collapsed="false">
      <c r="A75" s="4" t="n">
        <v>71</v>
      </c>
      <c r="B75" s="4" t="s">
        <v>291</v>
      </c>
      <c r="C75" s="4" t="s">
        <v>15</v>
      </c>
      <c r="D75" s="4" t="s">
        <v>292</v>
      </c>
      <c r="E75" s="4" t="n">
        <f aca="false">COUNTIF('Reference Log'!$E$2:$E$797,B75)</f>
        <v>2</v>
      </c>
      <c r="F75" s="4" t="n">
        <f aca="false">SUMIFS('Reference Log'!$J$2:$J$797,'Reference Log'!$E$2:$E$797,B75)</f>
        <v>2</v>
      </c>
      <c r="G75" s="5" t="n">
        <f aca="false">_xlfn.MINIFS('Reference Log'!$A$2:$A$797,'Reference Log'!$E$2:$E$797,B75)</f>
        <v>45932</v>
      </c>
      <c r="H75" s="5" t="n">
        <f aca="false">_xlfn.MAXIFS('Reference Log'!$A$2:$A$797,'Reference Log'!$E$2:$E$797,B75)</f>
        <v>45947</v>
      </c>
      <c r="I75" s="5" t="n">
        <f aca="false">_xlfn.MAXIFS('Reference Log'!$D$2:$D$797,'Reference Log'!$E$2:$E$797,B75)</f>
        <v>45949</v>
      </c>
      <c r="J75" s="4" t="s">
        <v>293</v>
      </c>
      <c r="K75" s="4" t="s">
        <v>123</v>
      </c>
      <c r="L75" s="4" t="s">
        <v>124</v>
      </c>
    </row>
    <row r="76" customFormat="false" ht="15" hidden="false" customHeight="false" outlineLevel="0" collapsed="false">
      <c r="A76" s="4" t="n">
        <v>72</v>
      </c>
      <c r="B76" s="4" t="s">
        <v>294</v>
      </c>
      <c r="C76" s="4" t="s">
        <v>21</v>
      </c>
      <c r="D76" s="4" t="s">
        <v>295</v>
      </c>
      <c r="E76" s="4" t="n">
        <f aca="false">COUNTIF('Reference Log'!$E$2:$E$797,B76)</f>
        <v>2</v>
      </c>
      <c r="F76" s="4" t="n">
        <f aca="false">SUMIFS('Reference Log'!$J$2:$J$797,'Reference Log'!$E$2:$E$797,B76)</f>
        <v>2</v>
      </c>
      <c r="G76" s="5" t="n">
        <f aca="false">_xlfn.MINIFS('Reference Log'!$A$2:$A$797,'Reference Log'!$E$2:$E$797,B76)</f>
        <v>46143</v>
      </c>
      <c r="H76" s="5" t="n">
        <f aca="false">_xlfn.MAXIFS('Reference Log'!$A$2:$A$797,'Reference Log'!$E$2:$E$797,B76)</f>
        <v>46161</v>
      </c>
      <c r="I76" s="5" t="n">
        <f aca="false">_xlfn.MAXIFS('Reference Log'!$D$2:$D$797,'Reference Log'!$E$2:$E$797,B76)</f>
        <v>46147</v>
      </c>
      <c r="J76" s="4" t="s">
        <v>296</v>
      </c>
      <c r="K76" s="4" t="s">
        <v>127</v>
      </c>
      <c r="L76" s="4" t="s">
        <v>128</v>
      </c>
    </row>
    <row r="77" customFormat="false" ht="15" hidden="false" customHeight="false" outlineLevel="0" collapsed="false">
      <c r="A77" s="4" t="n">
        <v>73</v>
      </c>
      <c r="B77" s="4" t="s">
        <v>297</v>
      </c>
      <c r="C77" s="4" t="s">
        <v>177</v>
      </c>
      <c r="D77" s="4" t="s">
        <v>298</v>
      </c>
      <c r="E77" s="4" t="n">
        <f aca="false">COUNTIF('Reference Log'!$E$2:$E$797,B77)</f>
        <v>2</v>
      </c>
      <c r="F77" s="4" t="n">
        <f aca="false">SUMIFS('Reference Log'!$J$2:$J$797,'Reference Log'!$E$2:$E$797,B77)</f>
        <v>2</v>
      </c>
      <c r="G77" s="5" t="n">
        <f aca="false">_xlfn.MINIFS('Reference Log'!$A$2:$A$797,'Reference Log'!$E$2:$E$797,B77)</f>
        <v>46279</v>
      </c>
      <c r="H77" s="5" t="n">
        <f aca="false">_xlfn.MAXIFS('Reference Log'!$A$2:$A$797,'Reference Log'!$E$2:$E$797,B77)</f>
        <v>46296</v>
      </c>
      <c r="I77" s="5" t="n">
        <f aca="false">_xlfn.MAXIFS('Reference Log'!$D$2:$D$797,'Reference Log'!$E$2:$E$797,B77)</f>
        <v>46298</v>
      </c>
      <c r="J77" s="4" t="s">
        <v>299</v>
      </c>
      <c r="K77" s="4" t="s">
        <v>300</v>
      </c>
      <c r="L77" s="4" t="s">
        <v>160</v>
      </c>
    </row>
    <row r="78" customFormat="false" ht="15" hidden="false" customHeight="false" outlineLevel="0" collapsed="false">
      <c r="A78" s="4" t="n">
        <v>74</v>
      </c>
      <c r="B78" s="4" t="s">
        <v>301</v>
      </c>
      <c r="C78" s="4" t="s">
        <v>15</v>
      </c>
      <c r="D78" s="4" t="s">
        <v>39</v>
      </c>
      <c r="E78" s="4" t="n">
        <f aca="false">COUNTIF('Reference Log'!$E$2:$E$797,B78)</f>
        <v>2</v>
      </c>
      <c r="F78" s="4" t="n">
        <f aca="false">SUMIFS('Reference Log'!$J$2:$J$797,'Reference Log'!$E$2:$E$797,B78)</f>
        <v>2</v>
      </c>
      <c r="G78" s="5" t="n">
        <f aca="false">_xlfn.MINIFS('Reference Log'!$A$2:$A$797,'Reference Log'!$E$2:$E$797,B78)</f>
        <v>46296</v>
      </c>
      <c r="H78" s="5" t="n">
        <f aca="false">_xlfn.MAXIFS('Reference Log'!$A$2:$A$797,'Reference Log'!$E$2:$E$797,B78)</f>
        <v>46311</v>
      </c>
      <c r="I78" s="5" t="n">
        <f aca="false">_xlfn.MAXIFS('Reference Log'!$D$2:$D$797,'Reference Log'!$E$2:$E$797,B78)</f>
        <v>46312</v>
      </c>
      <c r="J78" s="4" t="s">
        <v>302</v>
      </c>
      <c r="K78" s="4" t="s">
        <v>123</v>
      </c>
      <c r="L78" s="4" t="s">
        <v>124</v>
      </c>
    </row>
    <row r="79" customFormat="false" ht="15" hidden="false" customHeight="false" outlineLevel="0" collapsed="false">
      <c r="A79" s="4" t="n">
        <v>75</v>
      </c>
      <c r="B79" s="4" t="s">
        <v>303</v>
      </c>
      <c r="C79" s="4" t="s">
        <v>15</v>
      </c>
      <c r="D79" s="4" t="s">
        <v>304</v>
      </c>
      <c r="E79" s="4" t="n">
        <f aca="false">COUNTIF('Reference Log'!$E$2:$E$797,B79)</f>
        <v>2</v>
      </c>
      <c r="F79" s="4" t="n">
        <f aca="false">SUMIFS('Reference Log'!$J$2:$J$797,'Reference Log'!$E$2:$E$797,B79)</f>
        <v>2</v>
      </c>
      <c r="G79" s="5" t="n">
        <f aca="false">_xlfn.MINIFS('Reference Log'!$A$2:$A$797,'Reference Log'!$E$2:$E$797,B79)</f>
        <v>46143</v>
      </c>
      <c r="H79" s="5" t="n">
        <f aca="false">_xlfn.MAXIFS('Reference Log'!$A$2:$A$797,'Reference Log'!$E$2:$E$797,B79)</f>
        <v>46161</v>
      </c>
      <c r="I79" s="5" t="n">
        <f aca="false">_xlfn.MAXIFS('Reference Log'!$D$2:$D$797,'Reference Log'!$E$2:$E$797,B79)</f>
        <v>46145</v>
      </c>
      <c r="J79" s="4" t="s">
        <v>305</v>
      </c>
      <c r="K79" s="4" t="s">
        <v>305</v>
      </c>
      <c r="L79" s="4" t="s">
        <v>128</v>
      </c>
    </row>
    <row r="80" customFormat="false" ht="15" hidden="false" customHeight="false" outlineLevel="0" collapsed="false">
      <c r="A80" s="4" t="n">
        <v>76</v>
      </c>
      <c r="B80" s="4" t="s">
        <v>306</v>
      </c>
      <c r="C80" s="4" t="s">
        <v>177</v>
      </c>
      <c r="D80" s="4" t="s">
        <v>289</v>
      </c>
      <c r="E80" s="4" t="n">
        <f aca="false">COUNTIF('Reference Log'!$E$2:$E$797,B80)</f>
        <v>2</v>
      </c>
      <c r="F80" s="4" t="n">
        <f aca="false">SUMIFS('Reference Log'!$J$2:$J$797,'Reference Log'!$E$2:$E$797,B80)</f>
        <v>2</v>
      </c>
      <c r="G80" s="5" t="n">
        <f aca="false">_xlfn.MINIFS('Reference Log'!$A$2:$A$797,'Reference Log'!$E$2:$E$797,B80)</f>
        <v>46266</v>
      </c>
      <c r="H80" s="5" t="n">
        <f aca="false">_xlfn.MAXIFS('Reference Log'!$A$2:$A$797,'Reference Log'!$E$2:$E$797,B80)</f>
        <v>46279</v>
      </c>
      <c r="I80" s="5" t="n">
        <f aca="false">_xlfn.MAXIFS('Reference Log'!$D$2:$D$797,'Reference Log'!$E$2:$E$797,B80)</f>
        <v>46291</v>
      </c>
      <c r="J80" s="4" t="s">
        <v>307</v>
      </c>
      <c r="K80" s="4" t="s">
        <v>202</v>
      </c>
      <c r="L80" s="4" t="s">
        <v>160</v>
      </c>
    </row>
    <row r="81" customFormat="false" ht="15" hidden="false" customHeight="false" outlineLevel="0" collapsed="false">
      <c r="A81" s="4" t="n">
        <v>77</v>
      </c>
      <c r="B81" s="4" t="s">
        <v>308</v>
      </c>
      <c r="C81" s="4" t="s">
        <v>44</v>
      </c>
      <c r="D81" s="4" t="s">
        <v>54</v>
      </c>
      <c r="E81" s="4" t="n">
        <f aca="false">COUNTIF('Reference Log'!$E$2:$E$797,B81)</f>
        <v>2</v>
      </c>
      <c r="F81" s="4" t="n">
        <f aca="false">SUMIFS('Reference Log'!$J$2:$J$797,'Reference Log'!$E$2:$E$797,B81)</f>
        <v>2</v>
      </c>
      <c r="G81" s="5" t="n">
        <f aca="false">_xlfn.MINIFS('Reference Log'!$A$2:$A$797,'Reference Log'!$E$2:$E$797,B81)</f>
        <v>46024</v>
      </c>
      <c r="H81" s="5" t="n">
        <f aca="false">_xlfn.MAXIFS('Reference Log'!$A$2:$A$797,'Reference Log'!$E$2:$E$797,B81)</f>
        <v>46038</v>
      </c>
      <c r="I81" s="5" t="n">
        <f aca="false">_xlfn.MAXIFS('Reference Log'!$D$2:$D$797,'Reference Log'!$E$2:$E$797,B81)</f>
        <v>46042</v>
      </c>
      <c r="J81" s="4" t="s">
        <v>309</v>
      </c>
      <c r="K81" s="4" t="s">
        <v>310</v>
      </c>
      <c r="L81" s="4" t="s">
        <v>160</v>
      </c>
    </row>
    <row r="82" customFormat="false" ht="15" hidden="false" customHeight="false" outlineLevel="0" collapsed="false">
      <c r="A82" s="4" t="n">
        <v>78</v>
      </c>
      <c r="B82" s="4" t="s">
        <v>311</v>
      </c>
      <c r="C82" s="4" t="s">
        <v>15</v>
      </c>
      <c r="D82" s="4" t="s">
        <v>155</v>
      </c>
      <c r="E82" s="4" t="n">
        <f aca="false">COUNTIF('Reference Log'!$E$2:$E$797,B82)</f>
        <v>2</v>
      </c>
      <c r="F82" s="4" t="n">
        <f aca="false">SUMIFS('Reference Log'!$J$2:$J$797,'Reference Log'!$E$2:$E$797,B82)</f>
        <v>2</v>
      </c>
      <c r="G82" s="5" t="n">
        <f aca="false">_xlfn.MINIFS('Reference Log'!$A$2:$A$797,'Reference Log'!$E$2:$E$797,B82)</f>
        <v>46296</v>
      </c>
      <c r="H82" s="5" t="n">
        <f aca="false">_xlfn.MAXIFS('Reference Log'!$A$2:$A$797,'Reference Log'!$E$2:$E$797,B82)</f>
        <v>46311</v>
      </c>
      <c r="I82" s="5" t="n">
        <f aca="false">_xlfn.MAXIFS('Reference Log'!$D$2:$D$797,'Reference Log'!$E$2:$E$797,B82)</f>
        <v>46313</v>
      </c>
      <c r="J82" s="4" t="s">
        <v>312</v>
      </c>
      <c r="K82" s="4" t="s">
        <v>123</v>
      </c>
      <c r="L82" s="4" t="s">
        <v>124</v>
      </c>
    </row>
    <row r="83" customFormat="false" ht="15" hidden="false" customHeight="false" outlineLevel="0" collapsed="false">
      <c r="A83" s="4" t="n">
        <v>79</v>
      </c>
      <c r="B83" s="4" t="s">
        <v>313</v>
      </c>
      <c r="C83" s="4" t="s">
        <v>15</v>
      </c>
      <c r="D83" s="4" t="s">
        <v>142</v>
      </c>
      <c r="E83" s="4" t="n">
        <f aca="false">COUNTIF('Reference Log'!$E$2:$E$797,B83)</f>
        <v>2</v>
      </c>
      <c r="F83" s="4" t="n">
        <f aca="false">SUMIFS('Reference Log'!$J$2:$J$797,'Reference Log'!$E$2:$E$797,B83)</f>
        <v>2</v>
      </c>
      <c r="G83" s="5" t="n">
        <f aca="false">_xlfn.MINIFS('Reference Log'!$A$2:$A$797,'Reference Log'!$E$2:$E$797,B83)</f>
        <v>46193</v>
      </c>
      <c r="H83" s="5" t="n">
        <f aca="false">_xlfn.MAXIFS('Reference Log'!$A$2:$A$797,'Reference Log'!$E$2:$E$797,B83)</f>
        <v>46266</v>
      </c>
      <c r="I83" s="5" t="n">
        <f aca="false">_xlfn.MAXIFS('Reference Log'!$D$2:$D$797,'Reference Log'!$E$2:$E$797,B83)</f>
        <v>46278</v>
      </c>
      <c r="J83" s="4" t="s">
        <v>305</v>
      </c>
      <c r="K83" s="4" t="s">
        <v>314</v>
      </c>
      <c r="L83" s="4" t="s">
        <v>251</v>
      </c>
    </row>
    <row r="84" customFormat="false" ht="15" hidden="false" customHeight="false" outlineLevel="0" collapsed="false">
      <c r="A84" s="4" t="n">
        <v>80</v>
      </c>
      <c r="B84" s="4" t="s">
        <v>315</v>
      </c>
      <c r="C84" s="4" t="s">
        <v>282</v>
      </c>
      <c r="D84" s="4" t="s">
        <v>142</v>
      </c>
      <c r="E84" s="4" t="n">
        <f aca="false">COUNTIF('Reference Log'!$E$2:$E$797,B84)</f>
        <v>2</v>
      </c>
      <c r="F84" s="4" t="n">
        <f aca="false">SUMIFS('Reference Log'!$J$2:$J$797,'Reference Log'!$E$2:$E$797,B84)</f>
        <v>2</v>
      </c>
      <c r="G84" s="5" t="n">
        <f aca="false">_xlfn.MINIFS('Reference Log'!$A$2:$A$797,'Reference Log'!$E$2:$E$797,B84)</f>
        <v>46266</v>
      </c>
      <c r="H84" s="5" t="n">
        <f aca="false">_xlfn.MAXIFS('Reference Log'!$A$2:$A$797,'Reference Log'!$E$2:$E$797,B84)</f>
        <v>46279</v>
      </c>
      <c r="I84" s="5" t="n">
        <f aca="false">_xlfn.MAXIFS('Reference Log'!$D$2:$D$797,'Reference Log'!$E$2:$E$797,B84)</f>
        <v>46284</v>
      </c>
      <c r="J84" s="4" t="s">
        <v>316</v>
      </c>
      <c r="K84" s="4" t="s">
        <v>317</v>
      </c>
      <c r="L84" s="4" t="s">
        <v>160</v>
      </c>
    </row>
    <row r="85" customFormat="false" ht="15" hidden="false" customHeight="false" outlineLevel="0" collapsed="false">
      <c r="A85" s="4" t="n">
        <v>81</v>
      </c>
      <c r="B85" s="4" t="s">
        <v>318</v>
      </c>
      <c r="C85" s="4" t="s">
        <v>21</v>
      </c>
      <c r="D85" s="4" t="s">
        <v>319</v>
      </c>
      <c r="E85" s="4" t="n">
        <f aca="false">COUNTIF('Reference Log'!$E$2:$E$797,B85)</f>
        <v>2</v>
      </c>
      <c r="F85" s="4" t="n">
        <f aca="false">SUMIFS('Reference Log'!$J$2:$J$797,'Reference Log'!$E$2:$E$797,B85)</f>
        <v>2</v>
      </c>
      <c r="G85" s="5" t="n">
        <f aca="false">_xlfn.MINIFS('Reference Log'!$A$2:$A$797,'Reference Log'!$E$2:$E$797,B85)</f>
        <v>46214</v>
      </c>
      <c r="H85" s="5" t="n">
        <f aca="false">_xlfn.MAXIFS('Reference Log'!$A$2:$A$797,'Reference Log'!$E$2:$E$797,B85)</f>
        <v>46279</v>
      </c>
      <c r="I85" s="5" t="n">
        <f aca="false">_xlfn.MAXIFS('Reference Log'!$D$2:$D$797,'Reference Log'!$E$2:$E$797,B85)</f>
        <v>46283</v>
      </c>
      <c r="J85" s="4" t="s">
        <v>320</v>
      </c>
      <c r="K85" s="4" t="s">
        <v>321</v>
      </c>
      <c r="L85" s="4" t="s">
        <v>251</v>
      </c>
    </row>
    <row r="86" customFormat="false" ht="15" hidden="false" customHeight="false" outlineLevel="0" collapsed="false">
      <c r="A86" s="4" t="n">
        <v>82</v>
      </c>
      <c r="B86" s="4" t="s">
        <v>322</v>
      </c>
      <c r="C86" s="4" t="s">
        <v>21</v>
      </c>
      <c r="D86" s="4" t="s">
        <v>289</v>
      </c>
      <c r="E86" s="4" t="n">
        <f aca="false">COUNTIF('Reference Log'!$E$2:$E$797,B86)</f>
        <v>2</v>
      </c>
      <c r="F86" s="4" t="n">
        <f aca="false">SUMIFS('Reference Log'!$J$2:$J$797,'Reference Log'!$E$2:$E$797,B86)</f>
        <v>2</v>
      </c>
      <c r="G86" s="5" t="n">
        <f aca="false">_xlfn.MINIFS('Reference Log'!$A$2:$A$797,'Reference Log'!$E$2:$E$797,B86)</f>
        <v>45992</v>
      </c>
      <c r="H86" s="5" t="n">
        <f aca="false">_xlfn.MAXIFS('Reference Log'!$A$2:$A$797,'Reference Log'!$E$2:$E$797,B86)</f>
        <v>46004</v>
      </c>
      <c r="I86" s="5" t="n">
        <f aca="false">_xlfn.MAXIFS('Reference Log'!$D$2:$D$797,'Reference Log'!$E$2:$E$797,B86)</f>
        <v>46005</v>
      </c>
      <c r="J86" s="4" t="s">
        <v>323</v>
      </c>
      <c r="K86" s="4" t="s">
        <v>324</v>
      </c>
      <c r="L86" s="4" t="s">
        <v>160</v>
      </c>
    </row>
    <row r="87" customFormat="false" ht="15" hidden="false" customHeight="false" outlineLevel="0" collapsed="false">
      <c r="A87" s="4" t="n">
        <v>83</v>
      </c>
      <c r="B87" s="4" t="s">
        <v>325</v>
      </c>
      <c r="C87" s="4" t="s">
        <v>21</v>
      </c>
      <c r="D87" s="4" t="s">
        <v>326</v>
      </c>
      <c r="E87" s="4" t="n">
        <f aca="false">COUNTIF('Reference Log'!$E$2:$E$797,B87)</f>
        <v>2</v>
      </c>
      <c r="F87" s="4" t="n">
        <f aca="false">SUMIFS('Reference Log'!$J$2:$J$797,'Reference Log'!$E$2:$E$797,B87)</f>
        <v>2</v>
      </c>
      <c r="G87" s="5" t="n">
        <f aca="false">_xlfn.MINIFS('Reference Log'!$A$2:$A$797,'Reference Log'!$E$2:$E$797,B87)</f>
        <v>46296</v>
      </c>
      <c r="H87" s="5" t="n">
        <f aca="false">_xlfn.MAXIFS('Reference Log'!$A$2:$A$797,'Reference Log'!$E$2:$E$797,B87)</f>
        <v>46311</v>
      </c>
      <c r="I87" s="5" t="n">
        <f aca="false">_xlfn.MAXIFS('Reference Log'!$D$2:$D$797,'Reference Log'!$E$2:$E$797,B87)</f>
        <v>46316</v>
      </c>
      <c r="J87" s="4" t="s">
        <v>327</v>
      </c>
      <c r="K87" s="4" t="s">
        <v>123</v>
      </c>
      <c r="L87" s="4" t="s">
        <v>124</v>
      </c>
    </row>
    <row r="88" customFormat="false" ht="15" hidden="false" customHeight="false" outlineLevel="0" collapsed="false">
      <c r="A88" s="4" t="n">
        <v>84</v>
      </c>
      <c r="B88" s="4" t="s">
        <v>328</v>
      </c>
      <c r="C88" s="4" t="s">
        <v>15</v>
      </c>
      <c r="D88" s="4" t="s">
        <v>263</v>
      </c>
      <c r="E88" s="4" t="n">
        <f aca="false">COUNTIF('Reference Log'!$E$2:$E$797,B88)</f>
        <v>2</v>
      </c>
      <c r="F88" s="4" t="n">
        <f aca="false">SUMIFS('Reference Log'!$J$2:$J$797,'Reference Log'!$E$2:$E$797,B88)</f>
        <v>2</v>
      </c>
      <c r="G88" s="5" t="n">
        <f aca="false">_xlfn.MINIFS('Reference Log'!$A$2:$A$797,'Reference Log'!$E$2:$E$797,B88)</f>
        <v>46143</v>
      </c>
      <c r="H88" s="5" t="n">
        <f aca="false">_xlfn.MAXIFS('Reference Log'!$A$2:$A$797,'Reference Log'!$E$2:$E$797,B88)</f>
        <v>46161</v>
      </c>
      <c r="I88" s="5" t="n">
        <f aca="false">_xlfn.MAXIFS('Reference Log'!$D$2:$D$797,'Reference Log'!$E$2:$E$797,B88)</f>
        <v>46157</v>
      </c>
      <c r="J88" s="4" t="s">
        <v>329</v>
      </c>
      <c r="K88" s="4" t="s">
        <v>330</v>
      </c>
      <c r="L88" s="4" t="s">
        <v>128</v>
      </c>
    </row>
    <row r="89" customFormat="false" ht="15" hidden="false" customHeight="false" outlineLevel="0" collapsed="false">
      <c r="A89" s="4" t="n">
        <v>85</v>
      </c>
      <c r="B89" s="4" t="s">
        <v>331</v>
      </c>
      <c r="C89" s="4" t="s">
        <v>154</v>
      </c>
      <c r="D89" s="4" t="s">
        <v>39</v>
      </c>
      <c r="E89" s="4" t="n">
        <f aca="false">COUNTIF('Reference Log'!$E$2:$E$797,B89)</f>
        <v>2</v>
      </c>
      <c r="F89" s="4" t="n">
        <f aca="false">SUMIFS('Reference Log'!$J$2:$J$797,'Reference Log'!$E$2:$E$797,B89)</f>
        <v>2</v>
      </c>
      <c r="G89" s="5" t="n">
        <f aca="false">_xlfn.MINIFS('Reference Log'!$A$2:$A$797,'Reference Log'!$E$2:$E$797,B89)</f>
        <v>46174</v>
      </c>
      <c r="H89" s="5" t="n">
        <f aca="false">_xlfn.MAXIFS('Reference Log'!$A$2:$A$797,'Reference Log'!$E$2:$E$797,B89)</f>
        <v>46187</v>
      </c>
      <c r="I89" s="5" t="n">
        <f aca="false">_xlfn.MAXIFS('Reference Log'!$D$2:$D$797,'Reference Log'!$E$2:$E$797,B89)</f>
        <v>46179</v>
      </c>
      <c r="J89" s="4" t="s">
        <v>332</v>
      </c>
      <c r="K89" s="4" t="s">
        <v>123</v>
      </c>
      <c r="L89" s="4" t="s">
        <v>124</v>
      </c>
    </row>
    <row r="90" customFormat="false" ht="15" hidden="false" customHeight="false" outlineLevel="0" collapsed="false">
      <c r="A90" s="4" t="n">
        <v>86</v>
      </c>
      <c r="B90" s="4" t="s">
        <v>333</v>
      </c>
      <c r="C90" s="4" t="s">
        <v>27</v>
      </c>
      <c r="D90" s="4" t="s">
        <v>334</v>
      </c>
      <c r="E90" s="4" t="n">
        <f aca="false">COUNTIF('Reference Log'!$E$2:$E$797,B90)</f>
        <v>2</v>
      </c>
      <c r="F90" s="4" t="n">
        <f aca="false">SUMIFS('Reference Log'!$J$2:$J$797,'Reference Log'!$E$2:$E$797,B90)</f>
        <v>2</v>
      </c>
      <c r="G90" s="5" t="n">
        <f aca="false">_xlfn.MINIFS('Reference Log'!$A$2:$A$797,'Reference Log'!$E$2:$E$797,B90)</f>
        <v>46279</v>
      </c>
      <c r="H90" s="5" t="n">
        <f aca="false">_xlfn.MAXIFS('Reference Log'!$A$2:$A$797,'Reference Log'!$E$2:$E$797,B90)</f>
        <v>46311</v>
      </c>
      <c r="I90" s="5" t="n">
        <f aca="false">_xlfn.MAXIFS('Reference Log'!$D$2:$D$797,'Reference Log'!$E$2:$E$797,B90)</f>
        <v>46333</v>
      </c>
      <c r="J90" s="4" t="s">
        <v>335</v>
      </c>
      <c r="K90" s="4" t="s">
        <v>336</v>
      </c>
      <c r="L90" s="4" t="s">
        <v>128</v>
      </c>
    </row>
    <row r="91" customFormat="false" ht="15" hidden="false" customHeight="false" outlineLevel="0" collapsed="false">
      <c r="A91" s="4" t="n">
        <v>87</v>
      </c>
      <c r="B91" s="4" t="s">
        <v>337</v>
      </c>
      <c r="C91" s="4" t="s">
        <v>177</v>
      </c>
      <c r="D91" s="4" t="s">
        <v>338</v>
      </c>
      <c r="E91" s="4" t="n">
        <f aca="false">COUNTIF('Reference Log'!$E$2:$E$797,B91)</f>
        <v>2</v>
      </c>
      <c r="F91" s="4" t="n">
        <f aca="false">SUMIFS('Reference Log'!$J$2:$J$797,'Reference Log'!$E$2:$E$797,B91)</f>
        <v>2</v>
      </c>
      <c r="G91" s="5" t="n">
        <f aca="false">_xlfn.MINIFS('Reference Log'!$A$2:$A$797,'Reference Log'!$E$2:$E$797,B91)</f>
        <v>46266</v>
      </c>
      <c r="H91" s="5" t="n">
        <f aca="false">_xlfn.MAXIFS('Reference Log'!$A$2:$A$797,'Reference Log'!$E$2:$E$797,B91)</f>
        <v>46279</v>
      </c>
      <c r="I91" s="5" t="n">
        <f aca="false">_xlfn.MAXIFS('Reference Log'!$D$2:$D$797,'Reference Log'!$E$2:$E$797,B91)</f>
        <v>46279</v>
      </c>
      <c r="J91" s="4" t="s">
        <v>307</v>
      </c>
      <c r="K91" s="4" t="s">
        <v>202</v>
      </c>
      <c r="L91" s="4" t="s">
        <v>160</v>
      </c>
    </row>
    <row r="92" customFormat="false" ht="15" hidden="false" customHeight="false" outlineLevel="0" collapsed="false">
      <c r="A92" s="4" t="n">
        <v>88</v>
      </c>
      <c r="B92" s="4" t="s">
        <v>339</v>
      </c>
      <c r="C92" s="4" t="s">
        <v>177</v>
      </c>
      <c r="D92" s="4" t="s">
        <v>295</v>
      </c>
      <c r="E92" s="4" t="n">
        <f aca="false">COUNTIF('Reference Log'!$E$2:$E$797,B92)</f>
        <v>2</v>
      </c>
      <c r="F92" s="4" t="n">
        <f aca="false">SUMIFS('Reference Log'!$J$2:$J$797,'Reference Log'!$E$2:$E$797,B92)</f>
        <v>2</v>
      </c>
      <c r="G92" s="5" t="n">
        <f aca="false">_xlfn.MINIFS('Reference Log'!$A$2:$A$797,'Reference Log'!$E$2:$E$797,B92)</f>
        <v>46174</v>
      </c>
      <c r="H92" s="5" t="n">
        <f aca="false">_xlfn.MAXIFS('Reference Log'!$A$2:$A$797,'Reference Log'!$E$2:$E$797,B92)</f>
        <v>46187</v>
      </c>
      <c r="I92" s="5" t="n">
        <f aca="false">_xlfn.MAXIFS('Reference Log'!$D$2:$D$797,'Reference Log'!$E$2:$E$797,B92)</f>
        <v>46179</v>
      </c>
      <c r="J92" s="4" t="s">
        <v>340</v>
      </c>
      <c r="K92" s="4" t="s">
        <v>341</v>
      </c>
      <c r="L92" s="4" t="s">
        <v>128</v>
      </c>
    </row>
    <row r="93" customFormat="false" ht="15" hidden="false" customHeight="false" outlineLevel="0" collapsed="false">
      <c r="A93" s="4" t="n">
        <v>89</v>
      </c>
      <c r="B93" s="4" t="s">
        <v>342</v>
      </c>
      <c r="C93" s="4" t="s">
        <v>107</v>
      </c>
      <c r="D93" s="4" t="s">
        <v>217</v>
      </c>
      <c r="E93" s="4" t="n">
        <f aca="false">COUNTIF('Reference Log'!$E$2:$E$797,B93)</f>
        <v>2</v>
      </c>
      <c r="F93" s="4" t="n">
        <f aca="false">SUMIFS('Reference Log'!$J$2:$J$797,'Reference Log'!$E$2:$E$797,B93)</f>
        <v>2</v>
      </c>
      <c r="G93" s="5" t="n">
        <f aca="false">_xlfn.MINIFS('Reference Log'!$A$2:$A$797,'Reference Log'!$E$2:$E$797,B93)</f>
        <v>46235</v>
      </c>
      <c r="H93" s="5" t="n">
        <f aca="false">_xlfn.MAXIFS('Reference Log'!$A$2:$A$797,'Reference Log'!$E$2:$E$797,B93)</f>
        <v>46249</v>
      </c>
      <c r="I93" s="5" t="n">
        <f aca="false">_xlfn.MAXIFS('Reference Log'!$D$2:$D$797,'Reference Log'!$E$2:$E$797,B93)</f>
        <v>46249</v>
      </c>
      <c r="J93" s="4" t="s">
        <v>343</v>
      </c>
      <c r="K93" s="4" t="s">
        <v>123</v>
      </c>
      <c r="L93" s="4" t="s">
        <v>124</v>
      </c>
    </row>
    <row r="94" customFormat="false" ht="15" hidden="false" customHeight="false" outlineLevel="0" collapsed="false">
      <c r="A94" s="6" t="n">
        <v>90</v>
      </c>
      <c r="B94" s="6" t="s">
        <v>344</v>
      </c>
      <c r="C94" s="6" t="s">
        <v>33</v>
      </c>
      <c r="D94" s="6" t="s">
        <v>345</v>
      </c>
      <c r="E94" s="6" t="n">
        <f aca="false">COUNTIF('Reference Log'!$E$2:$E$797,B94)</f>
        <v>2</v>
      </c>
      <c r="F94" s="6" t="n">
        <f aca="false">SUMIFS('Reference Log'!$J$2:$J$797,'Reference Log'!$E$2:$E$797,B94)</f>
        <v>2</v>
      </c>
      <c r="G94" s="7" t="n">
        <f aca="false">_xlfn.MINIFS('Reference Log'!$A$2:$A$797,'Reference Log'!$E$2:$E$797,B94)</f>
        <v>46279</v>
      </c>
      <c r="H94" s="7" t="n">
        <f aca="false">_xlfn.MAXIFS('Reference Log'!$A$2:$A$797,'Reference Log'!$E$2:$E$797,B94)</f>
        <v>46296</v>
      </c>
      <c r="I94" s="7" t="n">
        <f aca="false">_xlfn.MAXIFS('Reference Log'!$D$2:$D$797,'Reference Log'!$E$2:$E$797,B94)</f>
        <v>46310</v>
      </c>
      <c r="J94" s="6" t="s">
        <v>346</v>
      </c>
      <c r="K94" s="6" t="s">
        <v>123</v>
      </c>
      <c r="L94" s="6" t="s">
        <v>124</v>
      </c>
    </row>
    <row r="95" customFormat="false" ht="15" hidden="false" customHeight="false" outlineLevel="0" collapsed="false">
      <c r="A95" s="6" t="n">
        <v>91</v>
      </c>
      <c r="B95" s="6" t="s">
        <v>347</v>
      </c>
      <c r="C95" s="6" t="s">
        <v>33</v>
      </c>
      <c r="D95" s="6" t="s">
        <v>348</v>
      </c>
      <c r="E95" s="6" t="n">
        <f aca="false">COUNTIF('Reference Log'!$E$2:$E$797,B95)</f>
        <v>2</v>
      </c>
      <c r="F95" s="6" t="n">
        <f aca="false">SUMIFS('Reference Log'!$J$2:$J$797,'Reference Log'!$E$2:$E$797,B95)</f>
        <v>2</v>
      </c>
      <c r="G95" s="7" t="n">
        <f aca="false">_xlfn.MINIFS('Reference Log'!$A$2:$A$797,'Reference Log'!$E$2:$E$797,B95)</f>
        <v>46129</v>
      </c>
      <c r="H95" s="7" t="n">
        <f aca="false">_xlfn.MAXIFS('Reference Log'!$A$2:$A$797,'Reference Log'!$E$2:$E$797,B95)</f>
        <v>46311</v>
      </c>
      <c r="I95" s="7" t="n">
        <f aca="false">_xlfn.MAXIFS('Reference Log'!$D$2:$D$797,'Reference Log'!$E$2:$E$797,B95)</f>
        <v>46313</v>
      </c>
      <c r="J95" s="6" t="s">
        <v>349</v>
      </c>
      <c r="K95" s="6" t="s">
        <v>350</v>
      </c>
      <c r="L95" s="6" t="s">
        <v>128</v>
      </c>
    </row>
    <row r="96" customFormat="false" ht="15" hidden="false" customHeight="false" outlineLevel="0" collapsed="false">
      <c r="A96" s="6" t="n">
        <v>92</v>
      </c>
      <c r="B96" s="6" t="s">
        <v>351</v>
      </c>
      <c r="C96" s="6" t="s">
        <v>33</v>
      </c>
      <c r="D96" s="6" t="s">
        <v>352</v>
      </c>
      <c r="E96" s="6" t="n">
        <f aca="false">COUNTIF('Reference Log'!$E$2:$E$797,B96)</f>
        <v>2</v>
      </c>
      <c r="F96" s="6" t="n">
        <f aca="false">SUMIFS('Reference Log'!$J$2:$J$797,'Reference Log'!$E$2:$E$797,B96)</f>
        <v>2</v>
      </c>
      <c r="G96" s="7" t="n">
        <f aca="false">_xlfn.MINIFS('Reference Log'!$A$2:$A$797,'Reference Log'!$E$2:$E$797,B96)</f>
        <v>46024</v>
      </c>
      <c r="H96" s="7" t="n">
        <f aca="false">_xlfn.MAXIFS('Reference Log'!$A$2:$A$797,'Reference Log'!$E$2:$E$797,B96)</f>
        <v>46038</v>
      </c>
      <c r="I96" s="7" t="n">
        <f aca="false">_xlfn.MAXIFS('Reference Log'!$D$2:$D$797,'Reference Log'!$E$2:$E$797,B96)</f>
        <v>46041</v>
      </c>
      <c r="J96" s="6" t="s">
        <v>353</v>
      </c>
      <c r="K96" s="6" t="s">
        <v>354</v>
      </c>
      <c r="L96" s="6" t="s">
        <v>160</v>
      </c>
    </row>
    <row r="97" customFormat="false" ht="15" hidden="false" customHeight="false" outlineLevel="0" collapsed="false">
      <c r="A97" s="4" t="n">
        <v>93</v>
      </c>
      <c r="B97" s="4" t="s">
        <v>355</v>
      </c>
      <c r="C97" s="4" t="s">
        <v>107</v>
      </c>
      <c r="D97" s="4" t="s">
        <v>213</v>
      </c>
      <c r="E97" s="4" t="n">
        <f aca="false">COUNTIF('Reference Log'!$E$2:$E$797,B97)</f>
        <v>2</v>
      </c>
      <c r="F97" s="4" t="n">
        <f aca="false">SUMIFS('Reference Log'!$J$2:$J$797,'Reference Log'!$E$2:$E$797,B97)</f>
        <v>2</v>
      </c>
      <c r="G97" s="5" t="n">
        <f aca="false">_xlfn.MINIFS('Reference Log'!$A$2:$A$797,'Reference Log'!$E$2:$E$797,B97)</f>
        <v>46024</v>
      </c>
      <c r="H97" s="5" t="n">
        <f aca="false">_xlfn.MAXIFS('Reference Log'!$A$2:$A$797,'Reference Log'!$E$2:$E$797,B97)</f>
        <v>46038</v>
      </c>
      <c r="I97" s="5" t="n">
        <f aca="false">_xlfn.MAXIFS('Reference Log'!$D$2:$D$797,'Reference Log'!$E$2:$E$797,B97)</f>
        <v>46043</v>
      </c>
      <c r="J97" s="4" t="s">
        <v>356</v>
      </c>
      <c r="K97" s="4" t="s">
        <v>357</v>
      </c>
      <c r="L97" s="4" t="s">
        <v>160</v>
      </c>
    </row>
    <row r="98" customFormat="false" ht="15" hidden="false" customHeight="false" outlineLevel="0" collapsed="false">
      <c r="A98" s="4" t="n">
        <v>94</v>
      </c>
      <c r="B98" s="4" t="s">
        <v>358</v>
      </c>
      <c r="C98" s="4" t="s">
        <v>177</v>
      </c>
      <c r="D98" s="4" t="s">
        <v>16</v>
      </c>
      <c r="E98" s="4" t="n">
        <f aca="false">COUNTIF('Reference Log'!$E$2:$E$797,B98)</f>
        <v>2</v>
      </c>
      <c r="F98" s="4" t="n">
        <f aca="false">SUMIFS('Reference Log'!$J$2:$J$797,'Reference Log'!$E$2:$E$797,B98)</f>
        <v>2</v>
      </c>
      <c r="G98" s="5" t="n">
        <f aca="false">_xlfn.MINIFS('Reference Log'!$A$2:$A$797,'Reference Log'!$E$2:$E$797,B98)</f>
        <v>46296</v>
      </c>
      <c r="H98" s="5" t="n">
        <f aca="false">_xlfn.MAXIFS('Reference Log'!$A$2:$A$797,'Reference Log'!$E$2:$E$797,B98)</f>
        <v>46311</v>
      </c>
      <c r="I98" s="5" t="n">
        <f aca="false">_xlfn.MAXIFS('Reference Log'!$D$2:$D$797,'Reference Log'!$E$2:$E$797,B98)</f>
        <v>46314</v>
      </c>
      <c r="J98" s="4" t="s">
        <v>359</v>
      </c>
      <c r="K98" s="4" t="s">
        <v>360</v>
      </c>
      <c r="L98" s="4" t="s">
        <v>160</v>
      </c>
    </row>
    <row r="99" customFormat="false" ht="15" hidden="false" customHeight="false" outlineLevel="0" collapsed="false">
      <c r="A99" s="4" t="n">
        <v>95</v>
      </c>
      <c r="B99" s="4" t="s">
        <v>361</v>
      </c>
      <c r="C99" s="4" t="s">
        <v>154</v>
      </c>
      <c r="D99" s="4" t="s">
        <v>362</v>
      </c>
      <c r="E99" s="4" t="n">
        <f aca="false">COUNTIF('Reference Log'!$E$2:$E$797,B99)</f>
        <v>2</v>
      </c>
      <c r="F99" s="4" t="n">
        <f aca="false">SUMIFS('Reference Log'!$J$2:$J$797,'Reference Log'!$E$2:$E$797,B99)</f>
        <v>1</v>
      </c>
      <c r="G99" s="5" t="n">
        <f aca="false">_xlfn.MINIFS('Reference Log'!$A$2:$A$797,'Reference Log'!$E$2:$E$797,B99)</f>
        <v>46193</v>
      </c>
      <c r="H99" s="5" t="n">
        <f aca="false">_xlfn.MAXIFS('Reference Log'!$A$2:$A$797,'Reference Log'!$E$2:$E$797,B99)</f>
        <v>46193</v>
      </c>
      <c r="I99" s="5" t="n">
        <f aca="false">_xlfn.MAXIFS('Reference Log'!$D$2:$D$797,'Reference Log'!$E$2:$E$797,B99)</f>
        <v>46208</v>
      </c>
      <c r="J99" s="4" t="s">
        <v>363</v>
      </c>
      <c r="K99" s="4" t="s">
        <v>364</v>
      </c>
      <c r="L99" s="4" t="s">
        <v>160</v>
      </c>
    </row>
    <row r="100" customFormat="false" ht="15" hidden="false" customHeight="false" outlineLevel="0" collapsed="false">
      <c r="A100" s="4" t="n">
        <v>96</v>
      </c>
      <c r="B100" s="4" t="s">
        <v>365</v>
      </c>
      <c r="C100" s="4" t="s">
        <v>15</v>
      </c>
      <c r="D100" s="4" t="s">
        <v>366</v>
      </c>
      <c r="E100" s="4" t="n">
        <f aca="false">COUNTIF('Reference Log'!$E$2:$E$797,B100)</f>
        <v>2</v>
      </c>
      <c r="F100" s="4" t="n">
        <f aca="false">SUMIFS('Reference Log'!$J$2:$J$797,'Reference Log'!$E$2:$E$797,B100)</f>
        <v>1</v>
      </c>
      <c r="G100" s="5" t="n">
        <f aca="false">_xlfn.MINIFS('Reference Log'!$A$2:$A$797,'Reference Log'!$E$2:$E$797,B100)</f>
        <v>46279</v>
      </c>
      <c r="H100" s="5" t="n">
        <f aca="false">_xlfn.MAXIFS('Reference Log'!$A$2:$A$797,'Reference Log'!$E$2:$E$797,B100)</f>
        <v>46279</v>
      </c>
      <c r="I100" s="5" t="n">
        <f aca="false">_xlfn.MAXIFS('Reference Log'!$D$2:$D$797,'Reference Log'!$E$2:$E$797,B100)</f>
        <v>46291</v>
      </c>
      <c r="J100" s="4" t="s">
        <v>367</v>
      </c>
      <c r="K100" s="4" t="s">
        <v>368</v>
      </c>
      <c r="L100" s="4" t="s">
        <v>251</v>
      </c>
    </row>
    <row r="101" customFormat="false" ht="15" hidden="false" customHeight="false" outlineLevel="0" collapsed="false">
      <c r="A101" s="4" t="n">
        <v>97</v>
      </c>
      <c r="B101" s="4" t="s">
        <v>369</v>
      </c>
      <c r="C101" s="4" t="s">
        <v>15</v>
      </c>
      <c r="D101" s="4" t="s">
        <v>45</v>
      </c>
      <c r="E101" s="4" t="n">
        <f aca="false">COUNTIF('Reference Log'!$E$2:$E$797,B101)</f>
        <v>2</v>
      </c>
      <c r="F101" s="4" t="n">
        <f aca="false">SUMIFS('Reference Log'!$J$2:$J$797,'Reference Log'!$E$2:$E$797,B101)</f>
        <v>1</v>
      </c>
      <c r="G101" s="5" t="n">
        <f aca="false">_xlfn.MINIFS('Reference Log'!$A$2:$A$797,'Reference Log'!$E$2:$E$797,B101)</f>
        <v>46193</v>
      </c>
      <c r="H101" s="5" t="n">
        <f aca="false">_xlfn.MAXIFS('Reference Log'!$A$2:$A$797,'Reference Log'!$E$2:$E$797,B101)</f>
        <v>46193</v>
      </c>
      <c r="I101" s="5" t="n">
        <f aca="false">_xlfn.MAXIFS('Reference Log'!$D$2:$D$797,'Reference Log'!$E$2:$E$797,B101)</f>
        <v>46204</v>
      </c>
      <c r="J101" s="4" t="s">
        <v>370</v>
      </c>
      <c r="K101" s="4" t="s">
        <v>18</v>
      </c>
      <c r="L101" s="4" t="s">
        <v>160</v>
      </c>
    </row>
    <row r="102" customFormat="false" ht="15" hidden="false" customHeight="false" outlineLevel="0" collapsed="false">
      <c r="A102" s="4" t="n">
        <v>98</v>
      </c>
      <c r="B102" s="4" t="s">
        <v>371</v>
      </c>
      <c r="C102" s="4" t="s">
        <v>21</v>
      </c>
      <c r="D102" s="4" t="s">
        <v>217</v>
      </c>
      <c r="E102" s="4" t="n">
        <f aca="false">COUNTIF('Reference Log'!$E$2:$E$797,B102)</f>
        <v>1</v>
      </c>
      <c r="F102" s="4" t="n">
        <f aca="false">SUMIFS('Reference Log'!$J$2:$J$797,'Reference Log'!$E$2:$E$797,B102)</f>
        <v>1</v>
      </c>
      <c r="G102" s="5" t="n">
        <f aca="false">_xlfn.MINIFS('Reference Log'!$A$2:$A$797,'Reference Log'!$E$2:$E$797,B102)</f>
        <v>46187</v>
      </c>
      <c r="H102" s="5" t="n">
        <f aca="false">_xlfn.MAXIFS('Reference Log'!$A$2:$A$797,'Reference Log'!$E$2:$E$797,B102)</f>
        <v>46187</v>
      </c>
      <c r="I102" s="5" t="n">
        <f aca="false">_xlfn.MAXIFS('Reference Log'!$D$2:$D$797,'Reference Log'!$E$2:$E$797,B102)</f>
        <v>46188</v>
      </c>
      <c r="J102" s="4" t="s">
        <v>372</v>
      </c>
      <c r="K102" s="4" t="s">
        <v>123</v>
      </c>
      <c r="L102" s="4" t="s">
        <v>124</v>
      </c>
    </row>
    <row r="103" customFormat="false" ht="15" hidden="false" customHeight="false" outlineLevel="0" collapsed="false">
      <c r="A103" s="4" t="n">
        <v>99</v>
      </c>
      <c r="B103" s="4" t="s">
        <v>373</v>
      </c>
      <c r="C103" s="4" t="s">
        <v>15</v>
      </c>
      <c r="D103" s="4" t="s">
        <v>374</v>
      </c>
      <c r="E103" s="4" t="n">
        <f aca="false">COUNTIF('Reference Log'!$E$2:$E$797,B103)</f>
        <v>1</v>
      </c>
      <c r="F103" s="4" t="n">
        <f aca="false">SUMIFS('Reference Log'!$J$2:$J$797,'Reference Log'!$E$2:$E$797,B103)</f>
        <v>1</v>
      </c>
      <c r="G103" s="5" t="n">
        <f aca="false">_xlfn.MINIFS('Reference Log'!$A$2:$A$797,'Reference Log'!$E$2:$E$797,B103)</f>
        <v>46266</v>
      </c>
      <c r="H103" s="5" t="n">
        <f aca="false">_xlfn.MAXIFS('Reference Log'!$A$2:$A$797,'Reference Log'!$E$2:$E$797,B103)</f>
        <v>46266</v>
      </c>
      <c r="I103" s="5" t="n">
        <f aca="false">_xlfn.MAXIFS('Reference Log'!$D$2:$D$797,'Reference Log'!$E$2:$E$797,B103)</f>
        <v>46273</v>
      </c>
      <c r="J103" s="4" t="s">
        <v>375</v>
      </c>
      <c r="K103" s="4" t="s">
        <v>123</v>
      </c>
      <c r="L103" s="4" t="s">
        <v>124</v>
      </c>
    </row>
    <row r="104" customFormat="false" ht="15" hidden="false" customHeight="false" outlineLevel="0" collapsed="false">
      <c r="A104" s="4" t="n">
        <v>100</v>
      </c>
      <c r="B104" s="4" t="s">
        <v>376</v>
      </c>
      <c r="C104" s="4" t="s">
        <v>15</v>
      </c>
      <c r="D104" s="4" t="s">
        <v>377</v>
      </c>
      <c r="E104" s="4" t="n">
        <f aca="false">COUNTIF('Reference Log'!$E$2:$E$797,B104)</f>
        <v>1</v>
      </c>
      <c r="F104" s="4" t="n">
        <f aca="false">SUMIFS('Reference Log'!$J$2:$J$797,'Reference Log'!$E$2:$E$797,B104)</f>
        <v>1</v>
      </c>
      <c r="G104" s="5" t="n">
        <f aca="false">_xlfn.MINIFS('Reference Log'!$A$2:$A$797,'Reference Log'!$E$2:$E$797,B104)</f>
        <v>46193</v>
      </c>
      <c r="H104" s="5" t="n">
        <f aca="false">_xlfn.MAXIFS('Reference Log'!$A$2:$A$797,'Reference Log'!$E$2:$E$797,B104)</f>
        <v>46193</v>
      </c>
      <c r="I104" s="5" t="n">
        <f aca="false">_xlfn.MAXIFS('Reference Log'!$D$2:$D$797,'Reference Log'!$E$2:$E$797,B104)</f>
        <v>46202</v>
      </c>
      <c r="J104" s="4" t="s">
        <v>378</v>
      </c>
      <c r="K104" s="4" t="s">
        <v>18</v>
      </c>
      <c r="L104" s="4" t="s">
        <v>128</v>
      </c>
    </row>
    <row r="105" customFormat="false" ht="15" hidden="false" customHeight="false" outlineLevel="0" collapsed="false">
      <c r="A105" s="4" t="n">
        <v>101</v>
      </c>
      <c r="B105" s="4" t="s">
        <v>379</v>
      </c>
      <c r="C105" s="4" t="s">
        <v>21</v>
      </c>
      <c r="D105" s="4" t="s">
        <v>263</v>
      </c>
      <c r="E105" s="4" t="n">
        <f aca="false">COUNTIF('Reference Log'!$E$2:$E$797,B105)</f>
        <v>1</v>
      </c>
      <c r="F105" s="4" t="n">
        <f aca="false">SUMIFS('Reference Log'!$J$2:$J$797,'Reference Log'!$E$2:$E$797,B105)</f>
        <v>1</v>
      </c>
      <c r="G105" s="5" t="n">
        <f aca="false">_xlfn.MINIFS('Reference Log'!$A$2:$A$797,'Reference Log'!$E$2:$E$797,B105)</f>
        <v>46279</v>
      </c>
      <c r="H105" s="5" t="n">
        <f aca="false">_xlfn.MAXIFS('Reference Log'!$A$2:$A$797,'Reference Log'!$E$2:$E$797,B105)</f>
        <v>46279</v>
      </c>
      <c r="I105" s="5" t="n">
        <f aca="false">_xlfn.MAXIFS('Reference Log'!$D$2:$D$797,'Reference Log'!$E$2:$E$797,B105)</f>
        <v>46291</v>
      </c>
      <c r="J105" s="4" t="s">
        <v>380</v>
      </c>
      <c r="K105" s="4" t="s">
        <v>123</v>
      </c>
      <c r="L105" s="4" t="s">
        <v>124</v>
      </c>
    </row>
    <row r="106" customFormat="false" ht="15" hidden="false" customHeight="false" outlineLevel="0" collapsed="false">
      <c r="A106" s="4" t="n">
        <v>102</v>
      </c>
      <c r="B106" s="4" t="s">
        <v>381</v>
      </c>
      <c r="C106" s="4" t="s">
        <v>166</v>
      </c>
      <c r="D106" s="4" t="s">
        <v>54</v>
      </c>
      <c r="E106" s="4" t="n">
        <f aca="false">COUNTIF('Reference Log'!$E$2:$E$797,B106)</f>
        <v>1</v>
      </c>
      <c r="F106" s="4" t="n">
        <f aca="false">SUMIFS('Reference Log'!$J$2:$J$797,'Reference Log'!$E$2:$E$797,B106)</f>
        <v>1</v>
      </c>
      <c r="G106" s="5" t="n">
        <f aca="false">_xlfn.MINIFS('Reference Log'!$A$2:$A$797,'Reference Log'!$E$2:$E$797,B106)</f>
        <v>46193</v>
      </c>
      <c r="H106" s="5" t="n">
        <f aca="false">_xlfn.MAXIFS('Reference Log'!$A$2:$A$797,'Reference Log'!$E$2:$E$797,B106)</f>
        <v>46193</v>
      </c>
      <c r="I106" s="5" t="n">
        <f aca="false">_xlfn.MAXIFS('Reference Log'!$D$2:$D$797,'Reference Log'!$E$2:$E$797,B106)</f>
        <v>46203</v>
      </c>
      <c r="J106" s="4" t="s">
        <v>382</v>
      </c>
      <c r="K106" s="4" t="s">
        <v>18</v>
      </c>
      <c r="L106" s="4" t="s">
        <v>128</v>
      </c>
    </row>
    <row r="107" customFormat="false" ht="15" hidden="false" customHeight="false" outlineLevel="0" collapsed="false">
      <c r="A107" s="4" t="n">
        <v>103</v>
      </c>
      <c r="B107" s="4" t="s">
        <v>383</v>
      </c>
      <c r="C107" s="4" t="s">
        <v>21</v>
      </c>
      <c r="D107" s="4" t="s">
        <v>384</v>
      </c>
      <c r="E107" s="4" t="n">
        <f aca="false">COUNTIF('Reference Log'!$E$2:$E$797,B107)</f>
        <v>1</v>
      </c>
      <c r="F107" s="4" t="n">
        <f aca="false">SUMIFS('Reference Log'!$J$2:$J$797,'Reference Log'!$E$2:$E$797,B107)</f>
        <v>1</v>
      </c>
      <c r="G107" s="5" t="n">
        <f aca="false">_xlfn.MINIFS('Reference Log'!$A$2:$A$797,'Reference Log'!$E$2:$E$797,B107)</f>
        <v>46214</v>
      </c>
      <c r="H107" s="5" t="n">
        <f aca="false">_xlfn.MAXIFS('Reference Log'!$A$2:$A$797,'Reference Log'!$E$2:$E$797,B107)</f>
        <v>46214</v>
      </c>
      <c r="I107" s="5" t="n">
        <f aca="false">_xlfn.MAXIFS('Reference Log'!$D$2:$D$797,'Reference Log'!$E$2:$E$797,B107)</f>
        <v>46237</v>
      </c>
      <c r="J107" s="4" t="s">
        <v>385</v>
      </c>
      <c r="K107" s="4" t="s">
        <v>386</v>
      </c>
      <c r="L107" s="4" t="s">
        <v>128</v>
      </c>
    </row>
    <row r="108" customFormat="false" ht="15" hidden="false" customHeight="false" outlineLevel="0" collapsed="false">
      <c r="A108" s="4" t="n">
        <v>104</v>
      </c>
      <c r="B108" s="4" t="s">
        <v>387</v>
      </c>
      <c r="C108" s="4" t="s">
        <v>44</v>
      </c>
      <c r="D108" s="4" t="s">
        <v>388</v>
      </c>
      <c r="E108" s="4" t="n">
        <f aca="false">COUNTIF('Reference Log'!$E$2:$E$797,B108)</f>
        <v>1</v>
      </c>
      <c r="F108" s="4" t="n">
        <f aca="false">SUMIFS('Reference Log'!$J$2:$J$797,'Reference Log'!$E$2:$E$797,B108)</f>
        <v>1</v>
      </c>
      <c r="G108" s="5" t="n">
        <f aca="false">_xlfn.MINIFS('Reference Log'!$A$2:$A$797,'Reference Log'!$E$2:$E$797,B108)</f>
        <v>46296</v>
      </c>
      <c r="H108" s="5" t="n">
        <f aca="false">_xlfn.MAXIFS('Reference Log'!$A$2:$A$797,'Reference Log'!$E$2:$E$797,B108)</f>
        <v>46296</v>
      </c>
      <c r="I108" s="5" t="n">
        <f aca="false">_xlfn.MAXIFS('Reference Log'!$D$2:$D$797,'Reference Log'!$E$2:$E$797,B108)</f>
        <v>46309</v>
      </c>
      <c r="J108" s="4" t="s">
        <v>389</v>
      </c>
      <c r="K108" s="4" t="s">
        <v>390</v>
      </c>
      <c r="L108" s="4" t="s">
        <v>128</v>
      </c>
    </row>
    <row r="109" customFormat="false" ht="15" hidden="false" customHeight="false" outlineLevel="0" collapsed="false">
      <c r="A109" s="4" t="n">
        <v>105</v>
      </c>
      <c r="B109" s="4" t="s">
        <v>391</v>
      </c>
      <c r="C109" s="4" t="s">
        <v>154</v>
      </c>
      <c r="D109" s="4" t="s">
        <v>117</v>
      </c>
      <c r="E109" s="4" t="n">
        <f aca="false">COUNTIF('Reference Log'!$E$2:$E$797,B109)</f>
        <v>1</v>
      </c>
      <c r="F109" s="4" t="n">
        <f aca="false">SUMIFS('Reference Log'!$J$2:$J$797,'Reference Log'!$E$2:$E$797,B109)</f>
        <v>1</v>
      </c>
      <c r="G109" s="5" t="n">
        <f aca="false">_xlfn.MINIFS('Reference Log'!$A$2:$A$797,'Reference Log'!$E$2:$E$797,B109)</f>
        <v>46249</v>
      </c>
      <c r="H109" s="5" t="n">
        <f aca="false">_xlfn.MAXIFS('Reference Log'!$A$2:$A$797,'Reference Log'!$E$2:$E$797,B109)</f>
        <v>46249</v>
      </c>
      <c r="I109" s="5" t="n">
        <f aca="false">_xlfn.MAXIFS('Reference Log'!$D$2:$D$797,'Reference Log'!$E$2:$E$797,B109)</f>
        <v>46249</v>
      </c>
      <c r="J109" s="4" t="s">
        <v>392</v>
      </c>
      <c r="K109" s="4" t="s">
        <v>123</v>
      </c>
      <c r="L109" s="4" t="s">
        <v>124</v>
      </c>
    </row>
    <row r="110" customFormat="false" ht="15" hidden="false" customHeight="false" outlineLevel="0" collapsed="false">
      <c r="A110" s="4" t="n">
        <v>106</v>
      </c>
      <c r="B110" s="4" t="s">
        <v>393</v>
      </c>
      <c r="C110" s="4" t="s">
        <v>166</v>
      </c>
      <c r="D110" s="4" t="s">
        <v>394</v>
      </c>
      <c r="E110" s="4" t="n">
        <f aca="false">COUNTIF('Reference Log'!$E$2:$E$797,B110)</f>
        <v>1</v>
      </c>
      <c r="F110" s="4" t="n">
        <f aca="false">SUMIFS('Reference Log'!$J$2:$J$797,'Reference Log'!$E$2:$E$797,B110)</f>
        <v>1</v>
      </c>
      <c r="G110" s="5" t="n">
        <f aca="false">_xlfn.MINIFS('Reference Log'!$A$2:$A$797,'Reference Log'!$E$2:$E$797,B110)</f>
        <v>45992</v>
      </c>
      <c r="H110" s="5" t="n">
        <f aca="false">_xlfn.MAXIFS('Reference Log'!$A$2:$A$797,'Reference Log'!$E$2:$E$797,B110)</f>
        <v>45992</v>
      </c>
      <c r="I110" s="5" t="n">
        <f aca="false">_xlfn.MAXIFS('Reference Log'!$D$2:$D$797,'Reference Log'!$E$2:$E$797,B110)</f>
        <v>46000</v>
      </c>
      <c r="J110" s="4" t="s">
        <v>395</v>
      </c>
      <c r="K110" s="4" t="s">
        <v>396</v>
      </c>
      <c r="L110" s="4" t="s">
        <v>128</v>
      </c>
    </row>
    <row r="111" customFormat="false" ht="15" hidden="false" customHeight="false" outlineLevel="0" collapsed="false">
      <c r="A111" s="4" t="n">
        <v>107</v>
      </c>
      <c r="B111" s="4" t="s">
        <v>397</v>
      </c>
      <c r="C111" s="4" t="s">
        <v>177</v>
      </c>
      <c r="D111" s="4" t="s">
        <v>63</v>
      </c>
      <c r="E111" s="4" t="n">
        <f aca="false">COUNTIF('Reference Log'!$E$2:$E$797,B111)</f>
        <v>1</v>
      </c>
      <c r="F111" s="4" t="n">
        <f aca="false">SUMIFS('Reference Log'!$J$2:$J$797,'Reference Log'!$E$2:$E$797,B111)</f>
        <v>1</v>
      </c>
      <c r="G111" s="5" t="n">
        <f aca="false">_xlfn.MINIFS('Reference Log'!$A$2:$A$797,'Reference Log'!$E$2:$E$797,B111)</f>
        <v>46214</v>
      </c>
      <c r="H111" s="5" t="n">
        <f aca="false">_xlfn.MAXIFS('Reference Log'!$A$2:$A$797,'Reference Log'!$E$2:$E$797,B111)</f>
        <v>46214</v>
      </c>
      <c r="I111" s="5" t="n">
        <f aca="false">_xlfn.MAXIFS('Reference Log'!$D$2:$D$797,'Reference Log'!$E$2:$E$797,B111)</f>
        <v>46216</v>
      </c>
      <c r="J111" s="4" t="s">
        <v>398</v>
      </c>
      <c r="K111" s="4" t="s">
        <v>123</v>
      </c>
      <c r="L111" s="4" t="s">
        <v>124</v>
      </c>
    </row>
    <row r="112" customFormat="false" ht="15" hidden="false" customHeight="false" outlineLevel="0" collapsed="false">
      <c r="A112" s="4" t="n">
        <v>108</v>
      </c>
      <c r="B112" s="4" t="s">
        <v>399</v>
      </c>
      <c r="C112" s="4" t="s">
        <v>177</v>
      </c>
      <c r="D112" s="4" t="s">
        <v>147</v>
      </c>
      <c r="E112" s="4" t="n">
        <f aca="false">COUNTIF('Reference Log'!$E$2:$E$797,B112)</f>
        <v>1</v>
      </c>
      <c r="F112" s="4" t="n">
        <f aca="false">SUMIFS('Reference Log'!$J$2:$J$797,'Reference Log'!$E$2:$E$797,B112)</f>
        <v>1</v>
      </c>
      <c r="G112" s="5" t="n">
        <f aca="false">_xlfn.MINIFS('Reference Log'!$A$2:$A$797,'Reference Log'!$E$2:$E$797,B112)</f>
        <v>46024</v>
      </c>
      <c r="H112" s="5" t="n">
        <f aca="false">_xlfn.MAXIFS('Reference Log'!$A$2:$A$797,'Reference Log'!$E$2:$E$797,B112)</f>
        <v>46024</v>
      </c>
      <c r="I112" s="5" t="n">
        <f aca="false">_xlfn.MAXIFS('Reference Log'!$D$2:$D$797,'Reference Log'!$E$2:$E$797,B112)</f>
        <v>46027</v>
      </c>
      <c r="J112" s="4" t="s">
        <v>400</v>
      </c>
      <c r="K112" s="4" t="s">
        <v>401</v>
      </c>
      <c r="L112" s="4" t="s">
        <v>128</v>
      </c>
    </row>
    <row r="113" customFormat="false" ht="15" hidden="false" customHeight="false" outlineLevel="0" collapsed="false">
      <c r="A113" s="4" t="n">
        <v>109</v>
      </c>
      <c r="B113" s="4" t="s">
        <v>402</v>
      </c>
      <c r="C113" s="4" t="s">
        <v>15</v>
      </c>
      <c r="D113" s="4" t="s">
        <v>121</v>
      </c>
      <c r="E113" s="4" t="n">
        <f aca="false">COUNTIF('Reference Log'!$E$2:$E$797,B113)</f>
        <v>1</v>
      </c>
      <c r="F113" s="4" t="n">
        <f aca="false">SUMIFS('Reference Log'!$J$2:$J$797,'Reference Log'!$E$2:$E$797,B113)</f>
        <v>1</v>
      </c>
      <c r="G113" s="5" t="n">
        <f aca="false">_xlfn.MINIFS('Reference Log'!$A$2:$A$797,'Reference Log'!$E$2:$E$797,B113)</f>
        <v>46193</v>
      </c>
      <c r="H113" s="5" t="n">
        <f aca="false">_xlfn.MAXIFS('Reference Log'!$A$2:$A$797,'Reference Log'!$E$2:$E$797,B113)</f>
        <v>46193</v>
      </c>
      <c r="I113" s="5" t="n">
        <f aca="false">_xlfn.MAXIFS('Reference Log'!$D$2:$D$797,'Reference Log'!$E$2:$E$797,B113)</f>
        <v>46207</v>
      </c>
      <c r="J113" s="4" t="s">
        <v>403</v>
      </c>
      <c r="K113" s="4" t="s">
        <v>18</v>
      </c>
      <c r="L113" s="4" t="s">
        <v>128</v>
      </c>
    </row>
    <row r="114" customFormat="false" ht="15" hidden="false" customHeight="false" outlineLevel="0" collapsed="false">
      <c r="A114" s="4" t="n">
        <v>110</v>
      </c>
      <c r="B114" s="4" t="s">
        <v>404</v>
      </c>
      <c r="C114" s="4" t="s">
        <v>107</v>
      </c>
      <c r="D114" s="4" t="s">
        <v>405</v>
      </c>
      <c r="E114" s="4" t="n">
        <f aca="false">COUNTIF('Reference Log'!$E$2:$E$797,B114)</f>
        <v>1</v>
      </c>
      <c r="F114" s="4" t="n">
        <f aca="false">SUMIFS('Reference Log'!$J$2:$J$797,'Reference Log'!$E$2:$E$797,B114)</f>
        <v>1</v>
      </c>
      <c r="G114" s="5" t="n">
        <f aca="false">_xlfn.MINIFS('Reference Log'!$A$2:$A$797,'Reference Log'!$E$2:$E$797,B114)</f>
        <v>46279</v>
      </c>
      <c r="H114" s="5" t="n">
        <f aca="false">_xlfn.MAXIFS('Reference Log'!$A$2:$A$797,'Reference Log'!$E$2:$E$797,B114)</f>
        <v>46279</v>
      </c>
      <c r="I114" s="5" t="n">
        <f aca="false">_xlfn.MAXIFS('Reference Log'!$D$2:$D$797,'Reference Log'!$E$2:$E$797,B114)</f>
        <v>46282</v>
      </c>
      <c r="J114" s="4" t="s">
        <v>406</v>
      </c>
      <c r="K114" s="4" t="s">
        <v>123</v>
      </c>
      <c r="L114" s="4" t="s">
        <v>124</v>
      </c>
    </row>
    <row r="115" customFormat="false" ht="15" hidden="false" customHeight="false" outlineLevel="0" collapsed="false">
      <c r="A115" s="4" t="n">
        <v>111</v>
      </c>
      <c r="B115" s="4" t="s">
        <v>407</v>
      </c>
      <c r="C115" s="4" t="s">
        <v>15</v>
      </c>
      <c r="D115" s="4" t="s">
        <v>39</v>
      </c>
      <c r="E115" s="4" t="n">
        <f aca="false">COUNTIF('Reference Log'!$E$2:$E$797,B115)</f>
        <v>1</v>
      </c>
      <c r="F115" s="4" t="n">
        <f aca="false">SUMIFS('Reference Log'!$J$2:$J$797,'Reference Log'!$E$2:$E$797,B115)</f>
        <v>1</v>
      </c>
      <c r="G115" s="5" t="n">
        <f aca="false">_xlfn.MINIFS('Reference Log'!$A$2:$A$797,'Reference Log'!$E$2:$E$797,B115)</f>
        <v>46249</v>
      </c>
      <c r="H115" s="5" t="n">
        <f aca="false">_xlfn.MAXIFS('Reference Log'!$A$2:$A$797,'Reference Log'!$E$2:$E$797,B115)</f>
        <v>46249</v>
      </c>
      <c r="I115" s="5" t="n">
        <f aca="false">_xlfn.MAXIFS('Reference Log'!$D$2:$D$797,'Reference Log'!$E$2:$E$797,B115)</f>
        <v>46264</v>
      </c>
      <c r="J115" s="4" t="s">
        <v>408</v>
      </c>
      <c r="K115" s="4" t="s">
        <v>123</v>
      </c>
      <c r="L115" s="4" t="s">
        <v>124</v>
      </c>
    </row>
    <row r="116" customFormat="false" ht="15" hidden="false" customHeight="false" outlineLevel="0" collapsed="false">
      <c r="A116" s="4" t="n">
        <v>112</v>
      </c>
      <c r="B116" s="4" t="s">
        <v>409</v>
      </c>
      <c r="C116" s="4" t="s">
        <v>27</v>
      </c>
      <c r="D116" s="4" t="s">
        <v>410</v>
      </c>
      <c r="E116" s="4" t="n">
        <f aca="false">COUNTIF('Reference Log'!$E$2:$E$797,B116)</f>
        <v>1</v>
      </c>
      <c r="F116" s="4" t="n">
        <f aca="false">SUMIFS('Reference Log'!$J$2:$J$797,'Reference Log'!$E$2:$E$797,B116)</f>
        <v>1</v>
      </c>
      <c r="G116" s="5" t="n">
        <f aca="false">_xlfn.MINIFS('Reference Log'!$A$2:$A$797,'Reference Log'!$E$2:$E$797,B116)</f>
        <v>46311</v>
      </c>
      <c r="H116" s="5" t="n">
        <f aca="false">_xlfn.MAXIFS('Reference Log'!$A$2:$A$797,'Reference Log'!$E$2:$E$797,B116)</f>
        <v>46311</v>
      </c>
      <c r="I116" s="5" t="n">
        <f aca="false">_xlfn.MAXIFS('Reference Log'!$D$2:$D$797,'Reference Log'!$E$2:$E$797,B116)</f>
        <v>46316</v>
      </c>
      <c r="J116" s="4" t="s">
        <v>411</v>
      </c>
      <c r="K116" s="4" t="s">
        <v>123</v>
      </c>
      <c r="L116" s="4" t="s">
        <v>124</v>
      </c>
    </row>
    <row r="117" customFormat="false" ht="15" hidden="false" customHeight="false" outlineLevel="0" collapsed="false">
      <c r="A117" s="4" t="n">
        <v>113</v>
      </c>
      <c r="B117" s="4" t="s">
        <v>412</v>
      </c>
      <c r="C117" s="4" t="s">
        <v>15</v>
      </c>
      <c r="D117" s="4" t="s">
        <v>28</v>
      </c>
      <c r="E117" s="4" t="n">
        <f aca="false">COUNTIF('Reference Log'!$E$2:$E$797,B117)</f>
        <v>1</v>
      </c>
      <c r="F117" s="4" t="n">
        <f aca="false">SUMIFS('Reference Log'!$J$2:$J$797,'Reference Log'!$E$2:$E$797,B117)</f>
        <v>1</v>
      </c>
      <c r="G117" s="5" t="n">
        <f aca="false">_xlfn.MINIFS('Reference Log'!$A$2:$A$797,'Reference Log'!$E$2:$E$797,B117)</f>
        <v>45992</v>
      </c>
      <c r="H117" s="5" t="n">
        <f aca="false">_xlfn.MAXIFS('Reference Log'!$A$2:$A$797,'Reference Log'!$E$2:$E$797,B117)</f>
        <v>45992</v>
      </c>
      <c r="I117" s="5" t="n">
        <f aca="false">_xlfn.MAXIFS('Reference Log'!$D$2:$D$797,'Reference Log'!$E$2:$E$797,B117)</f>
        <v>45997</v>
      </c>
      <c r="J117" s="4" t="s">
        <v>413</v>
      </c>
      <c r="K117" s="4" t="s">
        <v>215</v>
      </c>
      <c r="L117" s="4" t="s">
        <v>128</v>
      </c>
    </row>
    <row r="118" customFormat="false" ht="15" hidden="false" customHeight="false" outlineLevel="0" collapsed="false">
      <c r="A118" s="4" t="n">
        <v>114</v>
      </c>
      <c r="B118" s="4" t="s">
        <v>414</v>
      </c>
      <c r="C118" s="4" t="s">
        <v>21</v>
      </c>
      <c r="D118" s="4" t="s">
        <v>415</v>
      </c>
      <c r="E118" s="4" t="n">
        <f aca="false">COUNTIF('Reference Log'!$E$2:$E$797,B118)</f>
        <v>1</v>
      </c>
      <c r="F118" s="4" t="n">
        <f aca="false">SUMIFS('Reference Log'!$J$2:$J$797,'Reference Log'!$E$2:$E$797,B118)</f>
        <v>1</v>
      </c>
      <c r="G118" s="5" t="n">
        <f aca="false">_xlfn.MINIFS('Reference Log'!$A$2:$A$797,'Reference Log'!$E$2:$E$797,B118)</f>
        <v>46311</v>
      </c>
      <c r="H118" s="5" t="n">
        <f aca="false">_xlfn.MAXIFS('Reference Log'!$A$2:$A$797,'Reference Log'!$E$2:$E$797,B118)</f>
        <v>46311</v>
      </c>
      <c r="I118" s="5" t="n">
        <f aca="false">_xlfn.MAXIFS('Reference Log'!$D$2:$D$797,'Reference Log'!$E$2:$E$797,B118)</f>
        <v>46313</v>
      </c>
      <c r="J118" s="4" t="s">
        <v>416</v>
      </c>
      <c r="K118" s="4" t="s">
        <v>417</v>
      </c>
      <c r="L118" s="4" t="s">
        <v>128</v>
      </c>
    </row>
    <row r="119" customFormat="false" ht="15" hidden="false" customHeight="false" outlineLevel="0" collapsed="false">
      <c r="A119" s="4" t="n">
        <v>115</v>
      </c>
      <c r="B119" s="4" t="s">
        <v>418</v>
      </c>
      <c r="C119" s="4" t="s">
        <v>177</v>
      </c>
      <c r="D119" s="4" t="s">
        <v>39</v>
      </c>
      <c r="E119" s="4" t="n">
        <f aca="false">COUNTIF('Reference Log'!$E$2:$E$797,B119)</f>
        <v>1</v>
      </c>
      <c r="F119" s="4" t="n">
        <f aca="false">SUMIFS('Reference Log'!$J$2:$J$797,'Reference Log'!$E$2:$E$797,B119)</f>
        <v>1</v>
      </c>
      <c r="G119" s="5" t="n">
        <f aca="false">_xlfn.MINIFS('Reference Log'!$A$2:$A$797,'Reference Log'!$E$2:$E$797,B119)</f>
        <v>46235</v>
      </c>
      <c r="H119" s="5" t="n">
        <f aca="false">_xlfn.MAXIFS('Reference Log'!$A$2:$A$797,'Reference Log'!$E$2:$E$797,B119)</f>
        <v>46235</v>
      </c>
      <c r="I119" s="5" t="n">
        <f aca="false">_xlfn.MAXIFS('Reference Log'!$D$2:$D$797,'Reference Log'!$E$2:$E$797,B119)</f>
        <v>46241</v>
      </c>
      <c r="J119" s="4" t="s">
        <v>419</v>
      </c>
      <c r="K119" s="4" t="s">
        <v>420</v>
      </c>
      <c r="L119" s="4" t="s">
        <v>128</v>
      </c>
    </row>
    <row r="120" customFormat="false" ht="15" hidden="false" customHeight="false" outlineLevel="0" collapsed="false">
      <c r="A120" s="4" t="n">
        <v>116</v>
      </c>
      <c r="B120" s="4" t="s">
        <v>421</v>
      </c>
      <c r="C120" s="4" t="s">
        <v>15</v>
      </c>
      <c r="D120" s="4" t="s">
        <v>155</v>
      </c>
      <c r="E120" s="4" t="n">
        <f aca="false">COUNTIF('Reference Log'!$E$2:$E$797,B120)</f>
        <v>1</v>
      </c>
      <c r="F120" s="4" t="n">
        <f aca="false">SUMIFS('Reference Log'!$J$2:$J$797,'Reference Log'!$E$2:$E$797,B120)</f>
        <v>1</v>
      </c>
      <c r="G120" s="5" t="n">
        <f aca="false">_xlfn.MINIFS('Reference Log'!$A$2:$A$797,'Reference Log'!$E$2:$E$797,B120)</f>
        <v>46193</v>
      </c>
      <c r="H120" s="5" t="n">
        <f aca="false">_xlfn.MAXIFS('Reference Log'!$A$2:$A$797,'Reference Log'!$E$2:$E$797,B120)</f>
        <v>46193</v>
      </c>
      <c r="I120" s="5" t="n">
        <f aca="false">_xlfn.MAXIFS('Reference Log'!$D$2:$D$797,'Reference Log'!$E$2:$E$797,B120)</f>
        <v>46208</v>
      </c>
      <c r="J120" s="4" t="s">
        <v>422</v>
      </c>
      <c r="K120" s="4" t="s">
        <v>18</v>
      </c>
      <c r="L120" s="4" t="s">
        <v>128</v>
      </c>
    </row>
    <row r="121" customFormat="false" ht="15" hidden="false" customHeight="false" outlineLevel="0" collapsed="false">
      <c r="A121" s="4" t="n">
        <v>117</v>
      </c>
      <c r="B121" s="4" t="s">
        <v>423</v>
      </c>
      <c r="C121" s="4" t="s">
        <v>15</v>
      </c>
      <c r="D121" s="4" t="s">
        <v>304</v>
      </c>
      <c r="E121" s="4" t="n">
        <f aca="false">COUNTIF('Reference Log'!$E$2:$E$797,B121)</f>
        <v>1</v>
      </c>
      <c r="F121" s="4" t="n">
        <f aca="false">SUMIFS('Reference Log'!$J$2:$J$797,'Reference Log'!$E$2:$E$797,B121)</f>
        <v>1</v>
      </c>
      <c r="G121" s="5" t="n">
        <f aca="false">_xlfn.MINIFS('Reference Log'!$A$2:$A$797,'Reference Log'!$E$2:$E$797,B121)</f>
        <v>46214</v>
      </c>
      <c r="H121" s="5" t="n">
        <f aca="false">_xlfn.MAXIFS('Reference Log'!$A$2:$A$797,'Reference Log'!$E$2:$E$797,B121)</f>
        <v>46214</v>
      </c>
      <c r="I121" s="5" t="n">
        <f aca="false">_xlfn.MAXIFS('Reference Log'!$D$2:$D$797,'Reference Log'!$E$2:$E$797,B121)</f>
        <v>46215</v>
      </c>
      <c r="J121" s="4" t="s">
        <v>305</v>
      </c>
      <c r="K121" s="4" t="s">
        <v>305</v>
      </c>
      <c r="L121" s="4" t="s">
        <v>128</v>
      </c>
    </row>
    <row r="122" customFormat="false" ht="15" hidden="false" customHeight="false" outlineLevel="0" collapsed="false">
      <c r="A122" s="4" t="n">
        <v>118</v>
      </c>
      <c r="B122" s="4" t="s">
        <v>424</v>
      </c>
      <c r="C122" s="4" t="s">
        <v>21</v>
      </c>
      <c r="D122" s="4" t="s">
        <v>155</v>
      </c>
      <c r="E122" s="4" t="n">
        <f aca="false">COUNTIF('Reference Log'!$E$2:$E$797,B122)</f>
        <v>1</v>
      </c>
      <c r="F122" s="4" t="n">
        <f aca="false">SUMIFS('Reference Log'!$J$2:$J$797,'Reference Log'!$E$2:$E$797,B122)</f>
        <v>1</v>
      </c>
      <c r="G122" s="5" t="n">
        <f aca="false">_xlfn.MINIFS('Reference Log'!$A$2:$A$797,'Reference Log'!$E$2:$E$797,B122)</f>
        <v>46311</v>
      </c>
      <c r="H122" s="5" t="n">
        <f aca="false">_xlfn.MAXIFS('Reference Log'!$A$2:$A$797,'Reference Log'!$E$2:$E$797,B122)</f>
        <v>46311</v>
      </c>
      <c r="I122" s="5" t="n">
        <f aca="false">_xlfn.MAXIFS('Reference Log'!$D$2:$D$797,'Reference Log'!$E$2:$E$797,B122)</f>
        <v>46338</v>
      </c>
      <c r="J122" s="4" t="s">
        <v>425</v>
      </c>
      <c r="K122" s="4" t="s">
        <v>426</v>
      </c>
      <c r="L122" s="4" t="s">
        <v>128</v>
      </c>
    </row>
    <row r="123" customFormat="false" ht="15" hidden="false" customHeight="false" outlineLevel="0" collapsed="false">
      <c r="A123" s="4" t="n">
        <v>119</v>
      </c>
      <c r="B123" s="4" t="s">
        <v>427</v>
      </c>
      <c r="C123" s="4" t="s">
        <v>21</v>
      </c>
      <c r="D123" s="4" t="s">
        <v>155</v>
      </c>
      <c r="E123" s="4" t="n">
        <f aca="false">COUNTIF('Reference Log'!$E$2:$E$797,B123)</f>
        <v>1</v>
      </c>
      <c r="F123" s="4" t="n">
        <f aca="false">SUMIFS('Reference Log'!$J$2:$J$797,'Reference Log'!$E$2:$E$797,B123)</f>
        <v>1</v>
      </c>
      <c r="G123" s="5" t="n">
        <f aca="false">_xlfn.MINIFS('Reference Log'!$A$2:$A$797,'Reference Log'!$E$2:$E$797,B123)</f>
        <v>46129</v>
      </c>
      <c r="H123" s="5" t="n">
        <f aca="false">_xlfn.MAXIFS('Reference Log'!$A$2:$A$797,'Reference Log'!$E$2:$E$797,B123)</f>
        <v>46129</v>
      </c>
      <c r="I123" s="5" t="n">
        <f aca="false">_xlfn.MAXIFS('Reference Log'!$D$2:$D$797,'Reference Log'!$E$2:$E$797,B123)</f>
        <v>46133</v>
      </c>
      <c r="J123" s="4" t="s">
        <v>428</v>
      </c>
      <c r="K123" s="4" t="s">
        <v>123</v>
      </c>
      <c r="L123" s="4" t="s">
        <v>124</v>
      </c>
    </row>
    <row r="124" customFormat="false" ht="15" hidden="false" customHeight="false" outlineLevel="0" collapsed="false">
      <c r="A124" s="4" t="n">
        <v>120</v>
      </c>
      <c r="B124" s="4" t="s">
        <v>429</v>
      </c>
      <c r="C124" s="4" t="s">
        <v>15</v>
      </c>
      <c r="D124" s="4" t="s">
        <v>16</v>
      </c>
      <c r="E124" s="4" t="n">
        <f aca="false">COUNTIF('Reference Log'!$E$2:$E$797,B124)</f>
        <v>1</v>
      </c>
      <c r="F124" s="4" t="n">
        <f aca="false">SUMIFS('Reference Log'!$J$2:$J$797,'Reference Log'!$E$2:$E$797,B124)</f>
        <v>1</v>
      </c>
      <c r="G124" s="5" t="n">
        <f aca="false">_xlfn.MINIFS('Reference Log'!$A$2:$A$797,'Reference Log'!$E$2:$E$797,B124)</f>
        <v>46193</v>
      </c>
      <c r="H124" s="5" t="n">
        <f aca="false">_xlfn.MAXIFS('Reference Log'!$A$2:$A$797,'Reference Log'!$E$2:$E$797,B124)</f>
        <v>46193</v>
      </c>
      <c r="I124" s="5" t="n">
        <f aca="false">_xlfn.MAXIFS('Reference Log'!$D$2:$D$797,'Reference Log'!$E$2:$E$797,B124)</f>
        <v>46203</v>
      </c>
      <c r="J124" s="4" t="s">
        <v>430</v>
      </c>
      <c r="K124" s="4" t="s">
        <v>18</v>
      </c>
      <c r="L124" s="4" t="s">
        <v>128</v>
      </c>
    </row>
    <row r="125" customFormat="false" ht="15" hidden="false" customHeight="false" outlineLevel="0" collapsed="false">
      <c r="A125" s="4" t="n">
        <v>121</v>
      </c>
      <c r="B125" s="4" t="s">
        <v>431</v>
      </c>
      <c r="C125" s="4" t="s">
        <v>177</v>
      </c>
      <c r="D125" s="4" t="s">
        <v>63</v>
      </c>
      <c r="E125" s="4" t="n">
        <f aca="false">COUNTIF('Reference Log'!$E$2:$E$797,B125)</f>
        <v>1</v>
      </c>
      <c r="F125" s="4" t="n">
        <f aca="false">SUMIFS('Reference Log'!$J$2:$J$797,'Reference Log'!$E$2:$E$797,B125)</f>
        <v>1</v>
      </c>
      <c r="G125" s="5" t="n">
        <f aca="false">_xlfn.MINIFS('Reference Log'!$A$2:$A$797,'Reference Log'!$E$2:$E$797,B125)</f>
        <v>45975</v>
      </c>
      <c r="H125" s="5" t="n">
        <f aca="false">_xlfn.MAXIFS('Reference Log'!$A$2:$A$797,'Reference Log'!$E$2:$E$797,B125)</f>
        <v>45975</v>
      </c>
      <c r="I125" s="5" t="n">
        <f aca="false">_xlfn.MAXIFS('Reference Log'!$D$2:$D$797,'Reference Log'!$E$2:$E$797,B125)</f>
        <v>45982</v>
      </c>
      <c r="J125" s="4" t="s">
        <v>432</v>
      </c>
      <c r="K125" s="4" t="s">
        <v>242</v>
      </c>
      <c r="L125" s="4" t="s">
        <v>128</v>
      </c>
    </row>
    <row r="126" customFormat="false" ht="15" hidden="false" customHeight="false" outlineLevel="0" collapsed="false">
      <c r="A126" s="4" t="n">
        <v>122</v>
      </c>
      <c r="B126" s="4" t="s">
        <v>433</v>
      </c>
      <c r="C126" s="4" t="s">
        <v>107</v>
      </c>
      <c r="D126" s="4" t="s">
        <v>155</v>
      </c>
      <c r="E126" s="4" t="n">
        <f aca="false">COUNTIF('Reference Log'!$E$2:$E$797,B126)</f>
        <v>1</v>
      </c>
      <c r="F126" s="4" t="n">
        <f aca="false">SUMIFS('Reference Log'!$J$2:$J$797,'Reference Log'!$E$2:$E$797,B126)</f>
        <v>1</v>
      </c>
      <c r="G126" s="5" t="n">
        <f aca="false">_xlfn.MINIFS('Reference Log'!$A$2:$A$797,'Reference Log'!$E$2:$E$797,B126)</f>
        <v>46296</v>
      </c>
      <c r="H126" s="5" t="n">
        <f aca="false">_xlfn.MAXIFS('Reference Log'!$A$2:$A$797,'Reference Log'!$E$2:$E$797,B126)</f>
        <v>46296</v>
      </c>
      <c r="I126" s="5" t="n">
        <f aca="false">_xlfn.MAXIFS('Reference Log'!$D$2:$D$797,'Reference Log'!$E$2:$E$797,B126)</f>
        <v>46302</v>
      </c>
      <c r="J126" s="4" t="s">
        <v>434</v>
      </c>
      <c r="K126" s="4" t="s">
        <v>435</v>
      </c>
      <c r="L126" s="4" t="s">
        <v>128</v>
      </c>
    </row>
    <row r="127" customFormat="false" ht="15" hidden="false" customHeight="false" outlineLevel="0" collapsed="false">
      <c r="A127" s="4" t="n">
        <v>123</v>
      </c>
      <c r="B127" s="4" t="s">
        <v>436</v>
      </c>
      <c r="C127" s="4" t="s">
        <v>15</v>
      </c>
      <c r="D127" s="4" t="s">
        <v>155</v>
      </c>
      <c r="E127" s="4" t="n">
        <f aca="false">COUNTIF('Reference Log'!$E$2:$E$797,B127)</f>
        <v>1</v>
      </c>
      <c r="F127" s="4" t="n">
        <f aca="false">SUMIFS('Reference Log'!$J$2:$J$797,'Reference Log'!$E$2:$E$797,B127)</f>
        <v>1</v>
      </c>
      <c r="G127" s="5" t="n">
        <f aca="false">_xlfn.MINIFS('Reference Log'!$A$2:$A$797,'Reference Log'!$E$2:$E$797,B127)</f>
        <v>45932</v>
      </c>
      <c r="H127" s="5" t="n">
        <f aca="false">_xlfn.MAXIFS('Reference Log'!$A$2:$A$797,'Reference Log'!$E$2:$E$797,B127)</f>
        <v>45932</v>
      </c>
      <c r="I127" s="5" t="n">
        <f aca="false">_xlfn.MAXIFS('Reference Log'!$D$2:$D$797,'Reference Log'!$E$2:$E$797,B127)</f>
        <v>45934</v>
      </c>
      <c r="J127" s="4" t="s">
        <v>437</v>
      </c>
      <c r="K127" s="4" t="s">
        <v>438</v>
      </c>
      <c r="L127" s="4" t="s">
        <v>128</v>
      </c>
    </row>
    <row r="128" customFormat="false" ht="15" hidden="false" customHeight="false" outlineLevel="0" collapsed="false">
      <c r="A128" s="4" t="n">
        <v>124</v>
      </c>
      <c r="B128" s="4" t="s">
        <v>439</v>
      </c>
      <c r="C128" s="4" t="s">
        <v>190</v>
      </c>
      <c r="D128" s="4" t="s">
        <v>28</v>
      </c>
      <c r="E128" s="4" t="n">
        <f aca="false">COUNTIF('Reference Log'!$E$2:$E$797,B128)</f>
        <v>1</v>
      </c>
      <c r="F128" s="4" t="n">
        <f aca="false">SUMIFS('Reference Log'!$J$2:$J$797,'Reference Log'!$E$2:$E$797,B128)</f>
        <v>1</v>
      </c>
      <c r="G128" s="5" t="n">
        <f aca="false">_xlfn.MINIFS('Reference Log'!$A$2:$A$797,'Reference Log'!$E$2:$E$797,B128)</f>
        <v>46266</v>
      </c>
      <c r="H128" s="5" t="n">
        <f aca="false">_xlfn.MAXIFS('Reference Log'!$A$2:$A$797,'Reference Log'!$E$2:$E$797,B128)</f>
        <v>46266</v>
      </c>
      <c r="I128" s="5" t="n">
        <f aca="false">_xlfn.MAXIFS('Reference Log'!$D$2:$D$797,'Reference Log'!$E$2:$E$797,B128)</f>
        <v>46298</v>
      </c>
      <c r="J128" s="4" t="s">
        <v>440</v>
      </c>
      <c r="K128" s="4" t="s">
        <v>441</v>
      </c>
      <c r="L128" s="4" t="s">
        <v>128</v>
      </c>
    </row>
    <row r="129" customFormat="false" ht="15" hidden="false" customHeight="false" outlineLevel="0" collapsed="false">
      <c r="A129" s="4" t="n">
        <v>125</v>
      </c>
      <c r="B129" s="4" t="s">
        <v>442</v>
      </c>
      <c r="C129" s="4" t="s">
        <v>15</v>
      </c>
      <c r="D129" s="4" t="s">
        <v>16</v>
      </c>
      <c r="E129" s="4" t="n">
        <f aca="false">COUNTIF('Reference Log'!$E$2:$E$797,B129)</f>
        <v>1</v>
      </c>
      <c r="F129" s="4" t="n">
        <f aca="false">SUMIFS('Reference Log'!$J$2:$J$797,'Reference Log'!$E$2:$E$797,B129)</f>
        <v>1</v>
      </c>
      <c r="G129" s="5" t="n">
        <f aca="false">_xlfn.MINIFS('Reference Log'!$A$2:$A$797,'Reference Log'!$E$2:$E$797,B129)</f>
        <v>46193</v>
      </c>
      <c r="H129" s="5" t="n">
        <f aca="false">_xlfn.MAXIFS('Reference Log'!$A$2:$A$797,'Reference Log'!$E$2:$E$797,B129)</f>
        <v>46193</v>
      </c>
      <c r="I129" s="5" t="n">
        <f aca="false">_xlfn.MAXIFS('Reference Log'!$D$2:$D$797,'Reference Log'!$E$2:$E$797,B129)</f>
        <v>46208</v>
      </c>
      <c r="J129" s="4" t="s">
        <v>443</v>
      </c>
      <c r="K129" s="4" t="s">
        <v>18</v>
      </c>
      <c r="L129" s="4" t="s">
        <v>128</v>
      </c>
    </row>
    <row r="130" customFormat="false" ht="15" hidden="false" customHeight="false" outlineLevel="0" collapsed="false">
      <c r="A130" s="4" t="n">
        <v>126</v>
      </c>
      <c r="B130" s="4" t="s">
        <v>444</v>
      </c>
      <c r="C130" s="4" t="s">
        <v>282</v>
      </c>
      <c r="D130" s="4" t="s">
        <v>39</v>
      </c>
      <c r="E130" s="4" t="n">
        <f aca="false">COUNTIF('Reference Log'!$E$2:$E$797,B130)</f>
        <v>1</v>
      </c>
      <c r="F130" s="4" t="n">
        <f aca="false">SUMIFS('Reference Log'!$J$2:$J$797,'Reference Log'!$E$2:$E$797,B130)</f>
        <v>1</v>
      </c>
      <c r="G130" s="5" t="n">
        <f aca="false">_xlfn.MINIFS('Reference Log'!$A$2:$A$797,'Reference Log'!$E$2:$E$797,B130)</f>
        <v>46296</v>
      </c>
      <c r="H130" s="5" t="n">
        <f aca="false">_xlfn.MAXIFS('Reference Log'!$A$2:$A$797,'Reference Log'!$E$2:$E$797,B130)</f>
        <v>46296</v>
      </c>
      <c r="I130" s="5" t="n">
        <f aca="false">_xlfn.MAXIFS('Reference Log'!$D$2:$D$797,'Reference Log'!$E$2:$E$797,B130)</f>
        <v>46301</v>
      </c>
      <c r="J130" s="4" t="s">
        <v>445</v>
      </c>
      <c r="K130" s="4" t="s">
        <v>446</v>
      </c>
      <c r="L130" s="4" t="s">
        <v>128</v>
      </c>
    </row>
    <row r="131" customFormat="false" ht="15" hidden="false" customHeight="false" outlineLevel="0" collapsed="false">
      <c r="A131" s="4" t="n">
        <v>127</v>
      </c>
      <c r="B131" s="4" t="s">
        <v>447</v>
      </c>
      <c r="C131" s="4" t="s">
        <v>107</v>
      </c>
      <c r="D131" s="4" t="s">
        <v>155</v>
      </c>
      <c r="E131" s="4" t="n">
        <f aca="false">COUNTIF('Reference Log'!$E$2:$E$797,B131)</f>
        <v>1</v>
      </c>
      <c r="F131" s="4" t="n">
        <f aca="false">SUMIFS('Reference Log'!$J$2:$J$797,'Reference Log'!$E$2:$E$797,B131)</f>
        <v>1</v>
      </c>
      <c r="G131" s="5" t="n">
        <f aca="false">_xlfn.MINIFS('Reference Log'!$A$2:$A$797,'Reference Log'!$E$2:$E$797,B131)</f>
        <v>46004</v>
      </c>
      <c r="H131" s="5" t="n">
        <f aca="false">_xlfn.MAXIFS('Reference Log'!$A$2:$A$797,'Reference Log'!$E$2:$E$797,B131)</f>
        <v>46004</v>
      </c>
      <c r="I131" s="5" t="n">
        <f aca="false">_xlfn.MAXIFS('Reference Log'!$D$2:$D$797,'Reference Log'!$E$2:$E$797,B131)</f>
        <v>46005</v>
      </c>
      <c r="J131" s="4" t="s">
        <v>448</v>
      </c>
      <c r="K131" s="4" t="s">
        <v>449</v>
      </c>
      <c r="L131" s="4" t="s">
        <v>128</v>
      </c>
    </row>
    <row r="132" customFormat="false" ht="15" hidden="false" customHeight="false" outlineLevel="0" collapsed="false">
      <c r="A132" s="4" t="n">
        <v>128</v>
      </c>
      <c r="B132" s="4" t="s">
        <v>450</v>
      </c>
      <c r="C132" s="4" t="s">
        <v>87</v>
      </c>
      <c r="D132" s="4" t="s">
        <v>191</v>
      </c>
      <c r="E132" s="4" t="n">
        <f aca="false">COUNTIF('Reference Log'!$E$2:$E$797,B132)</f>
        <v>1</v>
      </c>
      <c r="F132" s="4" t="n">
        <f aca="false">SUMIFS('Reference Log'!$J$2:$J$797,'Reference Log'!$E$2:$E$797,B132)</f>
        <v>1</v>
      </c>
      <c r="G132" s="5" t="n">
        <f aca="false">_xlfn.MINIFS('Reference Log'!$A$2:$A$797,'Reference Log'!$E$2:$E$797,B132)</f>
        <v>46279</v>
      </c>
      <c r="H132" s="5" t="n">
        <f aca="false">_xlfn.MAXIFS('Reference Log'!$A$2:$A$797,'Reference Log'!$E$2:$E$797,B132)</f>
        <v>46279</v>
      </c>
      <c r="I132" s="5" t="n">
        <f aca="false">_xlfn.MAXIFS('Reference Log'!$D$2:$D$797,'Reference Log'!$E$2:$E$797,B132)</f>
        <v>46279</v>
      </c>
      <c r="J132" s="4" t="s">
        <v>451</v>
      </c>
      <c r="K132" s="4" t="s">
        <v>450</v>
      </c>
      <c r="L132" s="4" t="s">
        <v>128</v>
      </c>
    </row>
    <row r="133" customFormat="false" ht="15" hidden="false" customHeight="false" outlineLevel="0" collapsed="false">
      <c r="A133" s="4" t="n">
        <v>129</v>
      </c>
      <c r="B133" s="4" t="s">
        <v>452</v>
      </c>
      <c r="C133" s="4" t="s">
        <v>15</v>
      </c>
      <c r="D133" s="4" t="s">
        <v>453</v>
      </c>
      <c r="E133" s="4" t="n">
        <f aca="false">COUNTIF('Reference Log'!$E$2:$E$797,B133)</f>
        <v>1</v>
      </c>
      <c r="F133" s="4" t="n">
        <f aca="false">SUMIFS('Reference Log'!$J$2:$J$797,'Reference Log'!$E$2:$E$797,B133)</f>
        <v>1</v>
      </c>
      <c r="G133" s="5" t="n">
        <f aca="false">_xlfn.MINIFS('Reference Log'!$A$2:$A$797,'Reference Log'!$E$2:$E$797,B133)</f>
        <v>46161</v>
      </c>
      <c r="H133" s="5" t="n">
        <f aca="false">_xlfn.MAXIFS('Reference Log'!$A$2:$A$797,'Reference Log'!$E$2:$E$797,B133)</f>
        <v>46161</v>
      </c>
      <c r="I133" s="5" t="n">
        <f aca="false">_xlfn.MAXIFS('Reference Log'!$D$2:$D$797,'Reference Log'!$E$2:$E$797,B133)</f>
        <v>46173</v>
      </c>
      <c r="J133" s="4" t="s">
        <v>454</v>
      </c>
      <c r="K133" s="4" t="s">
        <v>123</v>
      </c>
      <c r="L133" s="4" t="s">
        <v>124</v>
      </c>
    </row>
    <row r="134" customFormat="false" ht="15" hidden="false" customHeight="false" outlineLevel="0" collapsed="false">
      <c r="A134" s="4" t="n">
        <v>130</v>
      </c>
      <c r="B134" s="4" t="s">
        <v>455</v>
      </c>
      <c r="C134" s="4" t="s">
        <v>21</v>
      </c>
      <c r="D134" s="4" t="s">
        <v>217</v>
      </c>
      <c r="E134" s="4" t="n">
        <f aca="false">COUNTIF('Reference Log'!$E$2:$E$797,B134)</f>
        <v>1</v>
      </c>
      <c r="F134" s="4" t="n">
        <f aca="false">SUMIFS('Reference Log'!$J$2:$J$797,'Reference Log'!$E$2:$E$797,B134)</f>
        <v>1</v>
      </c>
      <c r="G134" s="5" t="n">
        <f aca="false">_xlfn.MINIFS('Reference Log'!$A$2:$A$797,'Reference Log'!$E$2:$E$797,B134)</f>
        <v>46083</v>
      </c>
      <c r="H134" s="5" t="n">
        <f aca="false">_xlfn.MAXIFS('Reference Log'!$A$2:$A$797,'Reference Log'!$E$2:$E$797,B134)</f>
        <v>46083</v>
      </c>
      <c r="I134" s="5" t="n">
        <f aca="false">_xlfn.MAXIFS('Reference Log'!$D$2:$D$797,'Reference Log'!$E$2:$E$797,B134)</f>
        <v>46091</v>
      </c>
      <c r="J134" s="4" t="s">
        <v>456</v>
      </c>
      <c r="K134" s="4" t="s">
        <v>123</v>
      </c>
      <c r="L134" s="4" t="s">
        <v>124</v>
      </c>
    </row>
    <row r="135" customFormat="false" ht="15" hidden="false" customHeight="false" outlineLevel="0" collapsed="false">
      <c r="A135" s="4" t="n">
        <v>131</v>
      </c>
      <c r="B135" s="4" t="s">
        <v>457</v>
      </c>
      <c r="C135" s="4" t="s">
        <v>177</v>
      </c>
      <c r="D135" s="4" t="s">
        <v>155</v>
      </c>
      <c r="E135" s="4" t="n">
        <f aca="false">COUNTIF('Reference Log'!$E$2:$E$797,B135)</f>
        <v>1</v>
      </c>
      <c r="F135" s="4" t="n">
        <f aca="false">SUMIFS('Reference Log'!$J$2:$J$797,'Reference Log'!$E$2:$E$797,B135)</f>
        <v>1</v>
      </c>
      <c r="G135" s="5" t="n">
        <f aca="false">_xlfn.MINIFS('Reference Log'!$A$2:$A$797,'Reference Log'!$E$2:$E$797,B135)</f>
        <v>45992</v>
      </c>
      <c r="H135" s="5" t="n">
        <f aca="false">_xlfn.MAXIFS('Reference Log'!$A$2:$A$797,'Reference Log'!$E$2:$E$797,B135)</f>
        <v>45992</v>
      </c>
      <c r="I135" s="5" t="n">
        <f aca="false">_xlfn.MAXIFS('Reference Log'!$D$2:$D$797,'Reference Log'!$E$2:$E$797,B135)</f>
        <v>45999</v>
      </c>
      <c r="J135" s="4" t="s">
        <v>458</v>
      </c>
      <c r="K135" s="4" t="s">
        <v>459</v>
      </c>
      <c r="L135" s="4" t="s">
        <v>128</v>
      </c>
    </row>
    <row r="136" customFormat="false" ht="15" hidden="false" customHeight="false" outlineLevel="0" collapsed="false">
      <c r="A136" s="4" t="n">
        <v>132</v>
      </c>
      <c r="B136" s="4" t="s">
        <v>460</v>
      </c>
      <c r="C136" s="4" t="s">
        <v>21</v>
      </c>
      <c r="D136" s="4" t="s">
        <v>155</v>
      </c>
      <c r="E136" s="4" t="n">
        <f aca="false">COUNTIF('Reference Log'!$E$2:$E$797,B136)</f>
        <v>1</v>
      </c>
      <c r="F136" s="4" t="n">
        <f aca="false">SUMIFS('Reference Log'!$J$2:$J$797,'Reference Log'!$E$2:$E$797,B136)</f>
        <v>1</v>
      </c>
      <c r="G136" s="5" t="n">
        <f aca="false">_xlfn.MINIFS('Reference Log'!$A$2:$A$797,'Reference Log'!$E$2:$E$797,B136)</f>
        <v>46083</v>
      </c>
      <c r="H136" s="5" t="n">
        <f aca="false">_xlfn.MAXIFS('Reference Log'!$A$2:$A$797,'Reference Log'!$E$2:$E$797,B136)</f>
        <v>46083</v>
      </c>
      <c r="I136" s="5" t="n">
        <f aca="false">_xlfn.MAXIFS('Reference Log'!$D$2:$D$797,'Reference Log'!$E$2:$E$797,B136)</f>
        <v>46091</v>
      </c>
      <c r="J136" s="4" t="s">
        <v>461</v>
      </c>
      <c r="K136" s="4" t="s">
        <v>462</v>
      </c>
      <c r="L136" s="4" t="s">
        <v>128</v>
      </c>
    </row>
    <row r="137" customFormat="false" ht="15" hidden="false" customHeight="false" outlineLevel="0" collapsed="false">
      <c r="A137" s="4" t="n">
        <v>133</v>
      </c>
      <c r="B137" s="4" t="s">
        <v>463</v>
      </c>
      <c r="C137" s="4" t="s">
        <v>21</v>
      </c>
      <c r="D137" s="4" t="s">
        <v>39</v>
      </c>
      <c r="E137" s="4" t="n">
        <f aca="false">COUNTIF('Reference Log'!$E$2:$E$797,B137)</f>
        <v>1</v>
      </c>
      <c r="F137" s="4" t="n">
        <f aca="false">SUMIFS('Reference Log'!$J$2:$J$797,'Reference Log'!$E$2:$E$797,B137)</f>
        <v>1</v>
      </c>
      <c r="G137" s="5" t="n">
        <f aca="false">_xlfn.MINIFS('Reference Log'!$A$2:$A$797,'Reference Log'!$E$2:$E$797,B137)</f>
        <v>46214</v>
      </c>
      <c r="H137" s="5" t="n">
        <f aca="false">_xlfn.MAXIFS('Reference Log'!$A$2:$A$797,'Reference Log'!$E$2:$E$797,B137)</f>
        <v>46214</v>
      </c>
      <c r="I137" s="5" t="n">
        <f aca="false">_xlfn.MAXIFS('Reference Log'!$D$2:$D$797,'Reference Log'!$E$2:$E$797,B137)</f>
        <v>46227</v>
      </c>
      <c r="J137" s="4" t="s">
        <v>464</v>
      </c>
      <c r="K137" s="4" t="s">
        <v>123</v>
      </c>
      <c r="L137" s="4" t="s">
        <v>124</v>
      </c>
    </row>
    <row r="138" customFormat="false" ht="15" hidden="false" customHeight="false" outlineLevel="0" collapsed="false">
      <c r="A138" s="4" t="n">
        <v>134</v>
      </c>
      <c r="B138" s="4" t="s">
        <v>465</v>
      </c>
      <c r="C138" s="4" t="s">
        <v>15</v>
      </c>
      <c r="D138" s="4" t="s">
        <v>466</v>
      </c>
      <c r="E138" s="4" t="n">
        <f aca="false">COUNTIF('Reference Log'!$E$2:$E$797,B138)</f>
        <v>1</v>
      </c>
      <c r="F138" s="4" t="n">
        <f aca="false">SUMIFS('Reference Log'!$J$2:$J$797,'Reference Log'!$E$2:$E$797,B138)</f>
        <v>1</v>
      </c>
      <c r="G138" s="5" t="n">
        <f aca="false">_xlfn.MINIFS('Reference Log'!$A$2:$A$797,'Reference Log'!$E$2:$E$797,B138)</f>
        <v>46193</v>
      </c>
      <c r="H138" s="5" t="n">
        <f aca="false">_xlfn.MAXIFS('Reference Log'!$A$2:$A$797,'Reference Log'!$E$2:$E$797,B138)</f>
        <v>46193</v>
      </c>
      <c r="I138" s="5" t="n">
        <f aca="false">_xlfn.MAXIFS('Reference Log'!$D$2:$D$797,'Reference Log'!$E$2:$E$797,B138)</f>
        <v>46206</v>
      </c>
      <c r="J138" s="4" t="s">
        <v>467</v>
      </c>
      <c r="K138" s="4" t="s">
        <v>18</v>
      </c>
      <c r="L138" s="4" t="s">
        <v>128</v>
      </c>
    </row>
    <row r="139" customFormat="false" ht="15" hidden="false" customHeight="false" outlineLevel="0" collapsed="false">
      <c r="A139" s="4" t="n">
        <v>135</v>
      </c>
      <c r="B139" s="4" t="s">
        <v>468</v>
      </c>
      <c r="C139" s="4" t="s">
        <v>154</v>
      </c>
      <c r="D139" s="4" t="s">
        <v>155</v>
      </c>
      <c r="E139" s="4" t="n">
        <f aca="false">COUNTIF('Reference Log'!$E$2:$E$797,B139)</f>
        <v>1</v>
      </c>
      <c r="F139" s="4" t="n">
        <f aca="false">SUMIFS('Reference Log'!$J$2:$J$797,'Reference Log'!$E$2:$E$797,B139)</f>
        <v>1</v>
      </c>
      <c r="G139" s="5" t="n">
        <f aca="false">_xlfn.MINIFS('Reference Log'!$A$2:$A$797,'Reference Log'!$E$2:$E$797,B139)</f>
        <v>46296</v>
      </c>
      <c r="H139" s="5" t="n">
        <f aca="false">_xlfn.MAXIFS('Reference Log'!$A$2:$A$797,'Reference Log'!$E$2:$E$797,B139)</f>
        <v>46296</v>
      </c>
      <c r="I139" s="5" t="n">
        <f aca="false">_xlfn.MAXIFS('Reference Log'!$D$2:$D$797,'Reference Log'!$E$2:$E$797,B139)</f>
        <v>46305</v>
      </c>
      <c r="J139" s="4" t="s">
        <v>469</v>
      </c>
      <c r="K139" s="4" t="s">
        <v>470</v>
      </c>
      <c r="L139" s="4" t="s">
        <v>128</v>
      </c>
    </row>
    <row r="140" customFormat="false" ht="15" hidden="false" customHeight="false" outlineLevel="0" collapsed="false">
      <c r="A140" s="4" t="n">
        <v>136</v>
      </c>
      <c r="B140" s="4" t="s">
        <v>471</v>
      </c>
      <c r="C140" s="4" t="s">
        <v>107</v>
      </c>
      <c r="D140" s="4" t="s">
        <v>16</v>
      </c>
      <c r="E140" s="4" t="n">
        <f aca="false">COUNTIF('Reference Log'!$E$2:$E$797,B140)</f>
        <v>1</v>
      </c>
      <c r="F140" s="4" t="n">
        <f aca="false">SUMIFS('Reference Log'!$J$2:$J$797,'Reference Log'!$E$2:$E$797,B140)</f>
        <v>1</v>
      </c>
      <c r="G140" s="5" t="n">
        <f aca="false">_xlfn.MINIFS('Reference Log'!$A$2:$A$797,'Reference Log'!$E$2:$E$797,B140)</f>
        <v>45992</v>
      </c>
      <c r="H140" s="5" t="n">
        <f aca="false">_xlfn.MAXIFS('Reference Log'!$A$2:$A$797,'Reference Log'!$E$2:$E$797,B140)</f>
        <v>45992</v>
      </c>
      <c r="I140" s="5" t="n">
        <f aca="false">_xlfn.MAXIFS('Reference Log'!$D$2:$D$797,'Reference Log'!$E$2:$E$797,B140)</f>
        <v>45993</v>
      </c>
      <c r="J140" s="4" t="s">
        <v>472</v>
      </c>
      <c r="K140" s="4" t="s">
        <v>473</v>
      </c>
      <c r="L140" s="4" t="s">
        <v>128</v>
      </c>
    </row>
    <row r="141" customFormat="false" ht="15" hidden="false" customHeight="false" outlineLevel="0" collapsed="false">
      <c r="A141" s="4" t="n">
        <v>137</v>
      </c>
      <c r="B141" s="4" t="s">
        <v>474</v>
      </c>
      <c r="C141" s="4" t="s">
        <v>21</v>
      </c>
      <c r="D141" s="4" t="s">
        <v>142</v>
      </c>
      <c r="E141" s="4" t="n">
        <f aca="false">COUNTIF('Reference Log'!$E$2:$E$797,B141)</f>
        <v>1</v>
      </c>
      <c r="F141" s="4" t="n">
        <f aca="false">SUMIFS('Reference Log'!$J$2:$J$797,'Reference Log'!$E$2:$E$797,B141)</f>
        <v>1</v>
      </c>
      <c r="G141" s="5" t="n">
        <f aca="false">_xlfn.MINIFS('Reference Log'!$A$2:$A$797,'Reference Log'!$E$2:$E$797,B141)</f>
        <v>46083</v>
      </c>
      <c r="H141" s="5" t="n">
        <f aca="false">_xlfn.MAXIFS('Reference Log'!$A$2:$A$797,'Reference Log'!$E$2:$E$797,B141)</f>
        <v>46083</v>
      </c>
      <c r="I141" s="5" t="n">
        <f aca="false">_xlfn.MAXIFS('Reference Log'!$D$2:$D$797,'Reference Log'!$E$2:$E$797,B141)</f>
        <v>46084</v>
      </c>
      <c r="J141" s="4" t="s">
        <v>475</v>
      </c>
      <c r="K141" s="4" t="s">
        <v>123</v>
      </c>
      <c r="L141" s="4" t="s">
        <v>124</v>
      </c>
    </row>
    <row r="142" customFormat="false" ht="15" hidden="false" customHeight="false" outlineLevel="0" collapsed="false">
      <c r="A142" s="4" t="n">
        <v>138</v>
      </c>
      <c r="B142" s="4" t="s">
        <v>476</v>
      </c>
      <c r="C142" s="4" t="s">
        <v>15</v>
      </c>
      <c r="D142" s="4" t="s">
        <v>405</v>
      </c>
      <c r="E142" s="4" t="n">
        <f aca="false">COUNTIF('Reference Log'!$E$2:$E$797,B142)</f>
        <v>1</v>
      </c>
      <c r="F142" s="4" t="n">
        <f aca="false">SUMIFS('Reference Log'!$J$2:$J$797,'Reference Log'!$E$2:$E$797,B142)</f>
        <v>1</v>
      </c>
      <c r="G142" s="5" t="n">
        <f aca="false">_xlfn.MINIFS('Reference Log'!$A$2:$A$797,'Reference Log'!$E$2:$E$797,B142)</f>
        <v>46099</v>
      </c>
      <c r="H142" s="5" t="n">
        <f aca="false">_xlfn.MAXIFS('Reference Log'!$A$2:$A$797,'Reference Log'!$E$2:$E$797,B142)</f>
        <v>46099</v>
      </c>
      <c r="I142" s="5" t="n">
        <f aca="false">_xlfn.MAXIFS('Reference Log'!$D$2:$D$797,'Reference Log'!$E$2:$E$797,B142)</f>
        <v>46101</v>
      </c>
      <c r="J142" s="4" t="s">
        <v>477</v>
      </c>
      <c r="K142" s="4" t="s">
        <v>41</v>
      </c>
      <c r="L142" s="4" t="s">
        <v>128</v>
      </c>
    </row>
    <row r="143" customFormat="false" ht="15" hidden="false" customHeight="false" outlineLevel="0" collapsed="false">
      <c r="A143" s="4" t="n">
        <v>139</v>
      </c>
      <c r="B143" s="4" t="s">
        <v>478</v>
      </c>
      <c r="C143" s="4" t="s">
        <v>87</v>
      </c>
      <c r="D143" s="4" t="s">
        <v>88</v>
      </c>
      <c r="E143" s="4" t="n">
        <f aca="false">COUNTIF('Reference Log'!$E$2:$E$797,B143)</f>
        <v>1</v>
      </c>
      <c r="F143" s="4" t="n">
        <f aca="false">SUMIFS('Reference Log'!$J$2:$J$797,'Reference Log'!$E$2:$E$797,B143)</f>
        <v>1</v>
      </c>
      <c r="G143" s="5" t="n">
        <f aca="false">_xlfn.MINIFS('Reference Log'!$A$2:$A$797,'Reference Log'!$E$2:$E$797,B143)</f>
        <v>46235</v>
      </c>
      <c r="H143" s="5" t="n">
        <f aca="false">_xlfn.MAXIFS('Reference Log'!$A$2:$A$797,'Reference Log'!$E$2:$E$797,B143)</f>
        <v>46235</v>
      </c>
      <c r="I143" s="5" t="n">
        <f aca="false">_xlfn.MAXIFS('Reference Log'!$D$2:$D$797,'Reference Log'!$E$2:$E$797,B143)</f>
        <v>46236</v>
      </c>
      <c r="J143" s="4" t="s">
        <v>479</v>
      </c>
      <c r="K143" s="4" t="s">
        <v>480</v>
      </c>
      <c r="L143" s="4" t="s">
        <v>128</v>
      </c>
    </row>
    <row r="144" customFormat="false" ht="15" hidden="false" customHeight="false" outlineLevel="0" collapsed="false">
      <c r="A144" s="4" t="n">
        <v>140</v>
      </c>
      <c r="B144" s="4" t="s">
        <v>481</v>
      </c>
      <c r="C144" s="4" t="s">
        <v>154</v>
      </c>
      <c r="D144" s="4" t="s">
        <v>16</v>
      </c>
      <c r="E144" s="4" t="n">
        <f aca="false">COUNTIF('Reference Log'!$E$2:$E$797,B144)</f>
        <v>1</v>
      </c>
      <c r="F144" s="4" t="n">
        <f aca="false">SUMIFS('Reference Log'!$J$2:$J$797,'Reference Log'!$E$2:$E$797,B144)</f>
        <v>1</v>
      </c>
      <c r="G144" s="5" t="n">
        <f aca="false">_xlfn.MINIFS('Reference Log'!$A$2:$A$797,'Reference Log'!$E$2:$E$797,B144)</f>
        <v>46193</v>
      </c>
      <c r="H144" s="5" t="n">
        <f aca="false">_xlfn.MAXIFS('Reference Log'!$A$2:$A$797,'Reference Log'!$E$2:$E$797,B144)</f>
        <v>46193</v>
      </c>
      <c r="I144" s="5" t="n">
        <f aca="false">_xlfn.MAXIFS('Reference Log'!$D$2:$D$797,'Reference Log'!$E$2:$E$797,B144)</f>
        <v>46205</v>
      </c>
      <c r="J144" s="4" t="s">
        <v>482</v>
      </c>
      <c r="K144" s="4" t="s">
        <v>18</v>
      </c>
      <c r="L144" s="4" t="s">
        <v>128</v>
      </c>
    </row>
    <row r="145" customFormat="false" ht="15" hidden="false" customHeight="false" outlineLevel="0" collapsed="false">
      <c r="A145" s="4" t="n">
        <v>141</v>
      </c>
      <c r="B145" s="4" t="s">
        <v>483</v>
      </c>
      <c r="C145" s="4" t="s">
        <v>177</v>
      </c>
      <c r="D145" s="4" t="s">
        <v>16</v>
      </c>
      <c r="E145" s="4" t="n">
        <f aca="false">COUNTIF('Reference Log'!$E$2:$E$797,B145)</f>
        <v>1</v>
      </c>
      <c r="F145" s="4" t="n">
        <f aca="false">SUMIFS('Reference Log'!$J$2:$J$797,'Reference Log'!$E$2:$E$797,B145)</f>
        <v>1</v>
      </c>
      <c r="G145" s="5" t="n">
        <f aca="false">_xlfn.MINIFS('Reference Log'!$A$2:$A$797,'Reference Log'!$E$2:$E$797,B145)</f>
        <v>46193</v>
      </c>
      <c r="H145" s="5" t="n">
        <f aca="false">_xlfn.MAXIFS('Reference Log'!$A$2:$A$797,'Reference Log'!$E$2:$E$797,B145)</f>
        <v>46193</v>
      </c>
      <c r="I145" s="5" t="n">
        <f aca="false">_xlfn.MAXIFS('Reference Log'!$D$2:$D$797,'Reference Log'!$E$2:$E$797,B145)</f>
        <v>46207</v>
      </c>
      <c r="J145" s="4" t="s">
        <v>484</v>
      </c>
      <c r="K145" s="4" t="s">
        <v>18</v>
      </c>
      <c r="L145" s="4" t="s">
        <v>128</v>
      </c>
    </row>
    <row r="146" customFormat="false" ht="15" hidden="false" customHeight="false" outlineLevel="0" collapsed="false">
      <c r="A146" s="4" t="n">
        <v>142</v>
      </c>
      <c r="B146" s="4" t="s">
        <v>485</v>
      </c>
      <c r="C146" s="4" t="s">
        <v>154</v>
      </c>
      <c r="D146" s="4" t="s">
        <v>39</v>
      </c>
      <c r="E146" s="4" t="n">
        <f aca="false">COUNTIF('Reference Log'!$E$2:$E$797,B146)</f>
        <v>1</v>
      </c>
      <c r="F146" s="4" t="n">
        <f aca="false">SUMIFS('Reference Log'!$J$2:$J$797,'Reference Log'!$E$2:$E$797,B146)</f>
        <v>1</v>
      </c>
      <c r="G146" s="5" t="n">
        <f aca="false">_xlfn.MINIFS('Reference Log'!$A$2:$A$797,'Reference Log'!$E$2:$E$797,B146)</f>
        <v>46296</v>
      </c>
      <c r="H146" s="5" t="n">
        <f aca="false">_xlfn.MAXIFS('Reference Log'!$A$2:$A$797,'Reference Log'!$E$2:$E$797,B146)</f>
        <v>46296</v>
      </c>
      <c r="I146" s="5" t="n">
        <f aca="false">_xlfn.MAXIFS('Reference Log'!$D$2:$D$797,'Reference Log'!$E$2:$E$797,B146)</f>
        <v>46298</v>
      </c>
      <c r="J146" s="4" t="s">
        <v>486</v>
      </c>
      <c r="K146" s="4" t="s">
        <v>487</v>
      </c>
      <c r="L146" s="4" t="s">
        <v>128</v>
      </c>
    </row>
    <row r="147" customFormat="false" ht="15" hidden="false" customHeight="false" outlineLevel="0" collapsed="false">
      <c r="A147" s="4" t="n">
        <v>143</v>
      </c>
      <c r="B147" s="4" t="s">
        <v>488</v>
      </c>
      <c r="C147" s="4" t="s">
        <v>282</v>
      </c>
      <c r="D147" s="4" t="s">
        <v>263</v>
      </c>
      <c r="E147" s="4" t="n">
        <f aca="false">COUNTIF('Reference Log'!$E$2:$E$797,B147)</f>
        <v>1</v>
      </c>
      <c r="F147" s="4" t="n">
        <f aca="false">SUMIFS('Reference Log'!$J$2:$J$797,'Reference Log'!$E$2:$E$797,B147)</f>
        <v>1</v>
      </c>
      <c r="G147" s="5" t="n">
        <f aca="false">_xlfn.MINIFS('Reference Log'!$A$2:$A$797,'Reference Log'!$E$2:$E$797,B147)</f>
        <v>46024</v>
      </c>
      <c r="H147" s="5" t="n">
        <f aca="false">_xlfn.MAXIFS('Reference Log'!$A$2:$A$797,'Reference Log'!$E$2:$E$797,B147)</f>
        <v>46024</v>
      </c>
      <c r="I147" s="5" t="n">
        <f aca="false">_xlfn.MAXIFS('Reference Log'!$D$2:$D$797,'Reference Log'!$E$2:$E$797,B147)</f>
        <v>46034</v>
      </c>
      <c r="J147" s="4" t="s">
        <v>489</v>
      </c>
      <c r="K147" s="4" t="s">
        <v>459</v>
      </c>
      <c r="L147" s="4" t="s">
        <v>128</v>
      </c>
    </row>
    <row r="148" customFormat="false" ht="15" hidden="false" customHeight="false" outlineLevel="0" collapsed="false">
      <c r="A148" s="4" t="n">
        <v>144</v>
      </c>
      <c r="B148" s="4" t="s">
        <v>490</v>
      </c>
      <c r="C148" s="4" t="s">
        <v>27</v>
      </c>
      <c r="D148" s="4" t="s">
        <v>295</v>
      </c>
      <c r="E148" s="4" t="n">
        <f aca="false">COUNTIF('Reference Log'!$E$2:$E$797,B148)</f>
        <v>1</v>
      </c>
      <c r="F148" s="4" t="n">
        <f aca="false">SUMIFS('Reference Log'!$J$2:$J$797,'Reference Log'!$E$2:$E$797,B148)</f>
        <v>1</v>
      </c>
      <c r="G148" s="5" t="n">
        <f aca="false">_xlfn.MINIFS('Reference Log'!$A$2:$A$797,'Reference Log'!$E$2:$E$797,B148)</f>
        <v>46235</v>
      </c>
      <c r="H148" s="5" t="n">
        <f aca="false">_xlfn.MAXIFS('Reference Log'!$A$2:$A$797,'Reference Log'!$E$2:$E$797,B148)</f>
        <v>46235</v>
      </c>
      <c r="I148" s="5" t="n">
        <f aca="false">_xlfn.MAXIFS('Reference Log'!$D$2:$D$797,'Reference Log'!$E$2:$E$797,B148)</f>
        <v>46242</v>
      </c>
      <c r="J148" s="4" t="s">
        <v>317</v>
      </c>
      <c r="K148" s="4" t="s">
        <v>491</v>
      </c>
      <c r="L148" s="4" t="s">
        <v>128</v>
      </c>
    </row>
    <row r="149" customFormat="false" ht="15" hidden="false" customHeight="false" outlineLevel="0" collapsed="false">
      <c r="A149" s="4" t="n">
        <v>145</v>
      </c>
      <c r="B149" s="4" t="s">
        <v>492</v>
      </c>
      <c r="C149" s="4" t="s">
        <v>282</v>
      </c>
      <c r="D149" s="4" t="s">
        <v>493</v>
      </c>
      <c r="E149" s="4" t="n">
        <f aca="false">COUNTIF('Reference Log'!$E$2:$E$797,B149)</f>
        <v>1</v>
      </c>
      <c r="F149" s="4" t="n">
        <f aca="false">SUMIFS('Reference Log'!$J$2:$J$797,'Reference Log'!$E$2:$E$797,B149)</f>
        <v>1</v>
      </c>
      <c r="G149" s="5" t="n">
        <f aca="false">_xlfn.MINIFS('Reference Log'!$A$2:$A$797,'Reference Log'!$E$2:$E$797,B149)</f>
        <v>46083</v>
      </c>
      <c r="H149" s="5" t="n">
        <f aca="false">_xlfn.MAXIFS('Reference Log'!$A$2:$A$797,'Reference Log'!$E$2:$E$797,B149)</f>
        <v>46083</v>
      </c>
      <c r="I149" s="5" t="n">
        <f aca="false">_xlfn.MAXIFS('Reference Log'!$D$2:$D$797,'Reference Log'!$E$2:$E$797,B149)</f>
        <v>46091</v>
      </c>
      <c r="J149" s="4" t="s">
        <v>494</v>
      </c>
      <c r="K149" s="4" t="s">
        <v>495</v>
      </c>
      <c r="L149" s="4" t="s">
        <v>128</v>
      </c>
    </row>
    <row r="150" customFormat="false" ht="15" hidden="false" customHeight="false" outlineLevel="0" collapsed="false">
      <c r="A150" s="4" t="n">
        <v>146</v>
      </c>
      <c r="B150" s="4" t="s">
        <v>496</v>
      </c>
      <c r="C150" s="4" t="s">
        <v>15</v>
      </c>
      <c r="D150" s="4" t="s">
        <v>28</v>
      </c>
      <c r="E150" s="4" t="n">
        <f aca="false">COUNTIF('Reference Log'!$E$2:$E$797,B150)</f>
        <v>1</v>
      </c>
      <c r="F150" s="4" t="n">
        <f aca="false">SUMIFS('Reference Log'!$J$2:$J$797,'Reference Log'!$E$2:$E$797,B150)</f>
        <v>1</v>
      </c>
      <c r="G150" s="5" t="n">
        <f aca="false">_xlfn.MINIFS('Reference Log'!$A$2:$A$797,'Reference Log'!$E$2:$E$797,B150)</f>
        <v>45962</v>
      </c>
      <c r="H150" s="5" t="n">
        <f aca="false">_xlfn.MAXIFS('Reference Log'!$A$2:$A$797,'Reference Log'!$E$2:$E$797,B150)</f>
        <v>45962</v>
      </c>
      <c r="I150" s="5" t="n">
        <f aca="false">_xlfn.MAXIFS('Reference Log'!$D$2:$D$797,'Reference Log'!$E$2:$E$797,B150)</f>
        <v>45972</v>
      </c>
      <c r="J150" s="4" t="s">
        <v>413</v>
      </c>
      <c r="K150" s="4" t="s">
        <v>215</v>
      </c>
      <c r="L150" s="4" t="s">
        <v>128</v>
      </c>
    </row>
    <row r="151" customFormat="false" ht="15" hidden="false" customHeight="false" outlineLevel="0" collapsed="false">
      <c r="A151" s="4" t="n">
        <v>147</v>
      </c>
      <c r="B151" s="4" t="s">
        <v>497</v>
      </c>
      <c r="C151" s="4" t="s">
        <v>107</v>
      </c>
      <c r="D151" s="4" t="s">
        <v>498</v>
      </c>
      <c r="E151" s="4" t="n">
        <f aca="false">COUNTIF('Reference Log'!$E$2:$E$797,B151)</f>
        <v>1</v>
      </c>
      <c r="F151" s="4" t="n">
        <f aca="false">SUMIFS('Reference Log'!$J$2:$J$797,'Reference Log'!$E$2:$E$797,B151)</f>
        <v>1</v>
      </c>
      <c r="G151" s="5" t="n">
        <f aca="false">_xlfn.MINIFS('Reference Log'!$A$2:$A$797,'Reference Log'!$E$2:$E$797,B151)</f>
        <v>46311</v>
      </c>
      <c r="H151" s="5" t="n">
        <f aca="false">_xlfn.MAXIFS('Reference Log'!$A$2:$A$797,'Reference Log'!$E$2:$E$797,B151)</f>
        <v>46311</v>
      </c>
      <c r="I151" s="5" t="n">
        <f aca="false">_xlfn.MAXIFS('Reference Log'!$D$2:$D$797,'Reference Log'!$E$2:$E$797,B151)</f>
        <v>46329</v>
      </c>
      <c r="J151" s="4" t="s">
        <v>499</v>
      </c>
      <c r="K151" s="4" t="s">
        <v>500</v>
      </c>
      <c r="L151" s="4" t="s">
        <v>128</v>
      </c>
    </row>
    <row r="152" customFormat="false" ht="15" hidden="false" customHeight="false" outlineLevel="0" collapsed="false">
      <c r="A152" s="4" t="n">
        <v>148</v>
      </c>
      <c r="B152" s="4" t="s">
        <v>501</v>
      </c>
      <c r="C152" s="4" t="s">
        <v>15</v>
      </c>
      <c r="D152" s="4" t="s">
        <v>155</v>
      </c>
      <c r="E152" s="4" t="n">
        <f aca="false">COUNTIF('Reference Log'!$E$2:$E$797,B152)</f>
        <v>1</v>
      </c>
      <c r="F152" s="4" t="n">
        <f aca="false">SUMIFS('Reference Log'!$J$2:$J$797,'Reference Log'!$E$2:$E$797,B152)</f>
        <v>1</v>
      </c>
      <c r="G152" s="5" t="n">
        <f aca="false">_xlfn.MINIFS('Reference Log'!$A$2:$A$797,'Reference Log'!$E$2:$E$797,B152)</f>
        <v>46193</v>
      </c>
      <c r="H152" s="5" t="n">
        <f aca="false">_xlfn.MAXIFS('Reference Log'!$A$2:$A$797,'Reference Log'!$E$2:$E$797,B152)</f>
        <v>46193</v>
      </c>
      <c r="I152" s="5" t="n">
        <f aca="false">_xlfn.MAXIFS('Reference Log'!$D$2:$D$797,'Reference Log'!$E$2:$E$797,B152)</f>
        <v>46208</v>
      </c>
      <c r="J152" s="4" t="s">
        <v>502</v>
      </c>
      <c r="K152" s="4" t="s">
        <v>18</v>
      </c>
      <c r="L152" s="4" t="s">
        <v>128</v>
      </c>
    </row>
    <row r="153" customFormat="false" ht="15" hidden="false" customHeight="false" outlineLevel="0" collapsed="false">
      <c r="A153" s="4" t="n">
        <v>149</v>
      </c>
      <c r="B153" s="4" t="s">
        <v>503</v>
      </c>
      <c r="C153" s="4" t="s">
        <v>21</v>
      </c>
      <c r="D153" s="4" t="s">
        <v>155</v>
      </c>
      <c r="E153" s="4" t="n">
        <f aca="false">COUNTIF('Reference Log'!$E$2:$E$797,B153)</f>
        <v>1</v>
      </c>
      <c r="F153" s="4" t="n">
        <f aca="false">SUMIFS('Reference Log'!$J$2:$J$797,'Reference Log'!$E$2:$E$797,B153)</f>
        <v>1</v>
      </c>
      <c r="G153" s="5" t="n">
        <f aca="false">_xlfn.MINIFS('Reference Log'!$A$2:$A$797,'Reference Log'!$E$2:$E$797,B153)</f>
        <v>46038</v>
      </c>
      <c r="H153" s="5" t="n">
        <f aca="false">_xlfn.MAXIFS('Reference Log'!$A$2:$A$797,'Reference Log'!$E$2:$E$797,B153)</f>
        <v>46038</v>
      </c>
      <c r="I153" s="5" t="n">
        <f aca="false">_xlfn.MAXIFS('Reference Log'!$D$2:$D$797,'Reference Log'!$E$2:$E$797,B153)</f>
        <v>46043</v>
      </c>
      <c r="J153" s="4" t="s">
        <v>504</v>
      </c>
      <c r="K153" s="4" t="s">
        <v>310</v>
      </c>
      <c r="L153" s="4" t="s">
        <v>128</v>
      </c>
    </row>
    <row r="154" customFormat="false" ht="15" hidden="false" customHeight="false" outlineLevel="0" collapsed="false">
      <c r="A154" s="4" t="n">
        <v>150</v>
      </c>
      <c r="B154" s="4" t="s">
        <v>505</v>
      </c>
      <c r="C154" s="4" t="s">
        <v>21</v>
      </c>
      <c r="D154" s="4" t="s">
        <v>63</v>
      </c>
      <c r="E154" s="4" t="n">
        <f aca="false">COUNTIF('Reference Log'!$E$2:$E$797,B154)</f>
        <v>1</v>
      </c>
      <c r="F154" s="4" t="n">
        <f aca="false">SUMIFS('Reference Log'!$J$2:$J$797,'Reference Log'!$E$2:$E$797,B154)</f>
        <v>1</v>
      </c>
      <c r="G154" s="5" t="n">
        <f aca="false">_xlfn.MINIFS('Reference Log'!$A$2:$A$797,'Reference Log'!$E$2:$E$797,B154)</f>
        <v>46296</v>
      </c>
      <c r="H154" s="5" t="n">
        <f aca="false">_xlfn.MAXIFS('Reference Log'!$A$2:$A$797,'Reference Log'!$E$2:$E$797,B154)</f>
        <v>46296</v>
      </c>
      <c r="I154" s="5" t="n">
        <f aca="false">_xlfn.MAXIFS('Reference Log'!$D$2:$D$797,'Reference Log'!$E$2:$E$797,B154)</f>
        <v>46300</v>
      </c>
      <c r="J154" s="4" t="s">
        <v>506</v>
      </c>
      <c r="K154" s="4" t="s">
        <v>123</v>
      </c>
      <c r="L154" s="4" t="s">
        <v>124</v>
      </c>
    </row>
    <row r="155" customFormat="false" ht="15" hidden="false" customHeight="false" outlineLevel="0" collapsed="false">
      <c r="A155" s="4" t="n">
        <v>151</v>
      </c>
      <c r="B155" s="4" t="s">
        <v>507</v>
      </c>
      <c r="C155" s="4" t="s">
        <v>44</v>
      </c>
      <c r="D155" s="4" t="s">
        <v>16</v>
      </c>
      <c r="E155" s="4" t="n">
        <f aca="false">COUNTIF('Reference Log'!$E$2:$E$797,B155)</f>
        <v>1</v>
      </c>
      <c r="F155" s="4" t="n">
        <f aca="false">SUMIFS('Reference Log'!$J$2:$J$797,'Reference Log'!$E$2:$E$797,B155)</f>
        <v>1</v>
      </c>
      <c r="G155" s="5" t="n">
        <f aca="false">_xlfn.MINIFS('Reference Log'!$A$2:$A$797,'Reference Log'!$E$2:$E$797,B155)</f>
        <v>46024</v>
      </c>
      <c r="H155" s="5" t="n">
        <f aca="false">_xlfn.MAXIFS('Reference Log'!$A$2:$A$797,'Reference Log'!$E$2:$E$797,B155)</f>
        <v>46024</v>
      </c>
      <c r="I155" s="5" t="n">
        <f aca="false">_xlfn.MAXIFS('Reference Log'!$D$2:$D$797,'Reference Log'!$E$2:$E$797,B155)</f>
        <v>46023</v>
      </c>
      <c r="J155" s="4" t="s">
        <v>508</v>
      </c>
      <c r="K155" s="4" t="s">
        <v>509</v>
      </c>
      <c r="L155" s="4" t="s">
        <v>128</v>
      </c>
    </row>
    <row r="156" customFormat="false" ht="15" hidden="false" customHeight="false" outlineLevel="0" collapsed="false">
      <c r="A156" s="4" t="n">
        <v>152</v>
      </c>
      <c r="B156" s="4" t="s">
        <v>510</v>
      </c>
      <c r="C156" s="4" t="s">
        <v>21</v>
      </c>
      <c r="D156" s="4" t="s">
        <v>511</v>
      </c>
      <c r="E156" s="4" t="n">
        <f aca="false">COUNTIF('Reference Log'!$E$2:$E$797,B156)</f>
        <v>1</v>
      </c>
      <c r="F156" s="4" t="n">
        <f aca="false">SUMIFS('Reference Log'!$J$2:$J$797,'Reference Log'!$E$2:$E$797,B156)</f>
        <v>1</v>
      </c>
      <c r="G156" s="5" t="n">
        <f aca="false">_xlfn.MINIFS('Reference Log'!$A$2:$A$797,'Reference Log'!$E$2:$E$797,B156)</f>
        <v>46193</v>
      </c>
      <c r="H156" s="5" t="n">
        <f aca="false">_xlfn.MAXIFS('Reference Log'!$A$2:$A$797,'Reference Log'!$E$2:$E$797,B156)</f>
        <v>46193</v>
      </c>
      <c r="I156" s="5" t="n">
        <f aca="false">_xlfn.MAXIFS('Reference Log'!$D$2:$D$797,'Reference Log'!$E$2:$E$797,B156)</f>
        <v>46208</v>
      </c>
      <c r="J156" s="4" t="s">
        <v>512</v>
      </c>
      <c r="K156" s="4" t="s">
        <v>18</v>
      </c>
      <c r="L156" s="4" t="s">
        <v>128</v>
      </c>
    </row>
    <row r="157" customFormat="false" ht="15" hidden="false" customHeight="false" outlineLevel="0" collapsed="false">
      <c r="A157" s="4" t="n">
        <v>153</v>
      </c>
      <c r="B157" s="4" t="s">
        <v>513</v>
      </c>
      <c r="C157" s="4" t="s">
        <v>107</v>
      </c>
      <c r="D157" s="4" t="s">
        <v>498</v>
      </c>
      <c r="E157" s="4" t="n">
        <f aca="false">COUNTIF('Reference Log'!$E$2:$E$797,B157)</f>
        <v>1</v>
      </c>
      <c r="F157" s="4" t="n">
        <f aca="false">SUMIFS('Reference Log'!$J$2:$J$797,'Reference Log'!$E$2:$E$797,B157)</f>
        <v>1</v>
      </c>
      <c r="G157" s="5" t="n">
        <f aca="false">_xlfn.MINIFS('Reference Log'!$A$2:$A$797,'Reference Log'!$E$2:$E$797,B157)</f>
        <v>46114</v>
      </c>
      <c r="H157" s="5" t="n">
        <f aca="false">_xlfn.MAXIFS('Reference Log'!$A$2:$A$797,'Reference Log'!$E$2:$E$797,B157)</f>
        <v>46114</v>
      </c>
      <c r="I157" s="5" t="n">
        <f aca="false">_xlfn.MAXIFS('Reference Log'!$D$2:$D$797,'Reference Log'!$E$2:$E$797,B157)</f>
        <v>46126</v>
      </c>
      <c r="J157" s="4" t="s">
        <v>514</v>
      </c>
      <c r="K157" s="4" t="s">
        <v>36</v>
      </c>
      <c r="L157" s="4" t="s">
        <v>128</v>
      </c>
    </row>
    <row r="158" customFormat="false" ht="15" hidden="false" customHeight="false" outlineLevel="0" collapsed="false">
      <c r="A158" s="4" t="n">
        <v>154</v>
      </c>
      <c r="B158" s="4" t="s">
        <v>515</v>
      </c>
      <c r="C158" s="4" t="s">
        <v>282</v>
      </c>
      <c r="D158" s="4" t="s">
        <v>516</v>
      </c>
      <c r="E158" s="4" t="n">
        <f aca="false">COUNTIF('Reference Log'!$E$2:$E$797,B158)</f>
        <v>1</v>
      </c>
      <c r="F158" s="4" t="n">
        <f aca="false">SUMIFS('Reference Log'!$J$2:$J$797,'Reference Log'!$E$2:$E$797,B158)</f>
        <v>1</v>
      </c>
      <c r="G158" s="5" t="n">
        <f aca="false">_xlfn.MINIFS('Reference Log'!$A$2:$A$797,'Reference Log'!$E$2:$E$797,B158)</f>
        <v>46296</v>
      </c>
      <c r="H158" s="5" t="n">
        <f aca="false">_xlfn.MAXIFS('Reference Log'!$A$2:$A$797,'Reference Log'!$E$2:$E$797,B158)</f>
        <v>46296</v>
      </c>
      <c r="I158" s="5" t="n">
        <f aca="false">_xlfn.MAXIFS('Reference Log'!$D$2:$D$797,'Reference Log'!$E$2:$E$797,B158)</f>
        <v>46300</v>
      </c>
      <c r="J158" s="4" t="s">
        <v>445</v>
      </c>
      <c r="K158" s="4" t="s">
        <v>446</v>
      </c>
      <c r="L158" s="4" t="s">
        <v>128</v>
      </c>
    </row>
    <row r="159" customFormat="false" ht="15" hidden="false" customHeight="false" outlineLevel="0" collapsed="false">
      <c r="A159" s="4" t="n">
        <v>155</v>
      </c>
      <c r="B159" s="4" t="s">
        <v>517</v>
      </c>
      <c r="C159" s="4" t="s">
        <v>15</v>
      </c>
      <c r="D159" s="4" t="s">
        <v>518</v>
      </c>
      <c r="E159" s="4" t="n">
        <f aca="false">COUNTIF('Reference Log'!$E$2:$E$797,B159)</f>
        <v>1</v>
      </c>
      <c r="F159" s="4" t="n">
        <f aca="false">SUMIFS('Reference Log'!$J$2:$J$797,'Reference Log'!$E$2:$E$797,B159)</f>
        <v>1</v>
      </c>
      <c r="G159" s="5" t="n">
        <f aca="false">_xlfn.MINIFS('Reference Log'!$A$2:$A$797,'Reference Log'!$E$2:$E$797,B159)</f>
        <v>46214</v>
      </c>
      <c r="H159" s="5" t="n">
        <f aca="false">_xlfn.MAXIFS('Reference Log'!$A$2:$A$797,'Reference Log'!$E$2:$E$797,B159)</f>
        <v>46214</v>
      </c>
      <c r="I159" s="5" t="n">
        <f aca="false">_xlfn.MAXIFS('Reference Log'!$D$2:$D$797,'Reference Log'!$E$2:$E$797,B159)</f>
        <v>46231</v>
      </c>
      <c r="J159" s="4" t="s">
        <v>519</v>
      </c>
      <c r="K159" s="4" t="s">
        <v>520</v>
      </c>
      <c r="L159" s="4" t="s">
        <v>128</v>
      </c>
    </row>
    <row r="160" customFormat="false" ht="15" hidden="false" customHeight="false" outlineLevel="0" collapsed="false">
      <c r="A160" s="4" t="n">
        <v>156</v>
      </c>
      <c r="B160" s="4" t="s">
        <v>521</v>
      </c>
      <c r="C160" s="4" t="s">
        <v>177</v>
      </c>
      <c r="D160" s="4" t="s">
        <v>16</v>
      </c>
      <c r="E160" s="4" t="n">
        <f aca="false">COUNTIF('Reference Log'!$E$2:$E$797,B160)</f>
        <v>1</v>
      </c>
      <c r="F160" s="4" t="n">
        <f aca="false">SUMIFS('Reference Log'!$J$2:$J$797,'Reference Log'!$E$2:$E$797,B160)</f>
        <v>1</v>
      </c>
      <c r="G160" s="5" t="n">
        <f aca="false">_xlfn.MINIFS('Reference Log'!$A$2:$A$797,'Reference Log'!$E$2:$E$797,B160)</f>
        <v>46214</v>
      </c>
      <c r="H160" s="5" t="n">
        <f aca="false">_xlfn.MAXIFS('Reference Log'!$A$2:$A$797,'Reference Log'!$E$2:$E$797,B160)</f>
        <v>46214</v>
      </c>
      <c r="I160" s="5" t="n">
        <f aca="false">_xlfn.MAXIFS('Reference Log'!$D$2:$D$797,'Reference Log'!$E$2:$E$797,B160)</f>
        <v>46221</v>
      </c>
      <c r="J160" s="4" t="s">
        <v>522</v>
      </c>
      <c r="K160" s="4" t="s">
        <v>523</v>
      </c>
      <c r="L160" s="4" t="s">
        <v>128</v>
      </c>
    </row>
    <row r="161" customFormat="false" ht="15" hidden="false" customHeight="false" outlineLevel="0" collapsed="false">
      <c r="A161" s="6" t="n">
        <v>157</v>
      </c>
      <c r="B161" s="6" t="s">
        <v>524</v>
      </c>
      <c r="C161" s="6" t="s">
        <v>33</v>
      </c>
      <c r="D161" s="6" t="s">
        <v>525</v>
      </c>
      <c r="E161" s="6" t="n">
        <f aca="false">COUNTIF('Reference Log'!$E$2:$E$797,B161)</f>
        <v>1</v>
      </c>
      <c r="F161" s="6" t="n">
        <f aca="false">SUMIFS('Reference Log'!$J$2:$J$797,'Reference Log'!$E$2:$E$797,B161)</f>
        <v>1</v>
      </c>
      <c r="G161" s="7" t="n">
        <f aca="false">_xlfn.MINIFS('Reference Log'!$A$2:$A$797,'Reference Log'!$E$2:$E$797,B161)</f>
        <v>45992</v>
      </c>
      <c r="H161" s="7" t="n">
        <f aca="false">_xlfn.MAXIFS('Reference Log'!$A$2:$A$797,'Reference Log'!$E$2:$E$797,B161)</f>
        <v>45992</v>
      </c>
      <c r="I161" s="7" t="n">
        <f aca="false">_xlfn.MAXIFS('Reference Log'!$D$2:$D$797,'Reference Log'!$E$2:$E$797,B161)</f>
        <v>45992</v>
      </c>
      <c r="J161" s="6" t="s">
        <v>526</v>
      </c>
      <c r="K161" s="6" t="s">
        <v>215</v>
      </c>
      <c r="L161" s="6" t="s">
        <v>128</v>
      </c>
    </row>
    <row r="162" customFormat="false" ht="15" hidden="false" customHeight="false" outlineLevel="0" collapsed="false">
      <c r="A162" s="6" t="n">
        <v>158</v>
      </c>
      <c r="B162" s="6" t="s">
        <v>527</v>
      </c>
      <c r="C162" s="6" t="s">
        <v>33</v>
      </c>
      <c r="D162" s="6" t="s">
        <v>528</v>
      </c>
      <c r="E162" s="6" t="n">
        <f aca="false">COUNTIF('Reference Log'!$E$2:$E$797,B162)</f>
        <v>1</v>
      </c>
      <c r="F162" s="6" t="n">
        <f aca="false">SUMIFS('Reference Log'!$J$2:$J$797,'Reference Log'!$E$2:$E$797,B162)</f>
        <v>1</v>
      </c>
      <c r="G162" s="7" t="n">
        <f aca="false">_xlfn.MINIFS('Reference Log'!$A$2:$A$797,'Reference Log'!$E$2:$E$797,B162)</f>
        <v>46296</v>
      </c>
      <c r="H162" s="7" t="n">
        <f aca="false">_xlfn.MAXIFS('Reference Log'!$A$2:$A$797,'Reference Log'!$E$2:$E$797,B162)</f>
        <v>46296</v>
      </c>
      <c r="I162" s="7" t="n">
        <f aca="false">_xlfn.MAXIFS('Reference Log'!$D$2:$D$797,'Reference Log'!$E$2:$E$797,B162)</f>
        <v>46299</v>
      </c>
      <c r="J162" s="6" t="s">
        <v>529</v>
      </c>
      <c r="K162" s="6" t="s">
        <v>123</v>
      </c>
      <c r="L162" s="6" t="s">
        <v>124</v>
      </c>
    </row>
    <row r="163" customFormat="false" ht="15" hidden="false" customHeight="false" outlineLevel="0" collapsed="false">
      <c r="A163" s="6" t="n">
        <v>159</v>
      </c>
      <c r="B163" s="6" t="s">
        <v>530</v>
      </c>
      <c r="C163" s="6" t="s">
        <v>33</v>
      </c>
      <c r="D163" s="6" t="s">
        <v>531</v>
      </c>
      <c r="E163" s="6" t="n">
        <f aca="false">COUNTIF('Reference Log'!$E$2:$E$797,B163)</f>
        <v>1</v>
      </c>
      <c r="F163" s="6" t="n">
        <f aca="false">SUMIFS('Reference Log'!$J$2:$J$797,'Reference Log'!$E$2:$E$797,B163)</f>
        <v>1</v>
      </c>
      <c r="G163" s="7" t="n">
        <f aca="false">_xlfn.MINIFS('Reference Log'!$A$2:$A$797,'Reference Log'!$E$2:$E$797,B163)</f>
        <v>45992</v>
      </c>
      <c r="H163" s="7" t="n">
        <f aca="false">_xlfn.MAXIFS('Reference Log'!$A$2:$A$797,'Reference Log'!$E$2:$E$797,B163)</f>
        <v>45992</v>
      </c>
      <c r="I163" s="7" t="n">
        <f aca="false">_xlfn.MAXIFS('Reference Log'!$D$2:$D$797,'Reference Log'!$E$2:$E$797,B163)</f>
        <v>46005</v>
      </c>
      <c r="J163" s="6" t="s">
        <v>532</v>
      </c>
      <c r="K163" s="6" t="s">
        <v>449</v>
      </c>
      <c r="L163" s="6" t="s">
        <v>128</v>
      </c>
    </row>
    <row r="164" customFormat="false" ht="15" hidden="false" customHeight="false" outlineLevel="0" collapsed="false">
      <c r="A164" s="6" t="n">
        <v>160</v>
      </c>
      <c r="B164" s="6" t="s">
        <v>533</v>
      </c>
      <c r="C164" s="6" t="s">
        <v>33</v>
      </c>
      <c r="D164" s="6" t="s">
        <v>534</v>
      </c>
      <c r="E164" s="6" t="n">
        <f aca="false">COUNTIF('Reference Log'!$E$2:$E$797,B164)</f>
        <v>1</v>
      </c>
      <c r="F164" s="6" t="n">
        <f aca="false">SUMIFS('Reference Log'!$J$2:$J$797,'Reference Log'!$E$2:$E$797,B164)</f>
        <v>1</v>
      </c>
      <c r="G164" s="7" t="n">
        <f aca="false">_xlfn.MINIFS('Reference Log'!$A$2:$A$797,'Reference Log'!$E$2:$E$797,B164)</f>
        <v>46004</v>
      </c>
      <c r="H164" s="7" t="n">
        <f aca="false">_xlfn.MAXIFS('Reference Log'!$A$2:$A$797,'Reference Log'!$E$2:$E$797,B164)</f>
        <v>46004</v>
      </c>
      <c r="I164" s="7" t="n">
        <f aca="false">_xlfn.MAXIFS('Reference Log'!$D$2:$D$797,'Reference Log'!$E$2:$E$797,B164)</f>
        <v>46008</v>
      </c>
      <c r="J164" s="6" t="s">
        <v>535</v>
      </c>
      <c r="K164" s="6" t="s">
        <v>536</v>
      </c>
      <c r="L164" s="6" t="s">
        <v>128</v>
      </c>
    </row>
    <row r="165" customFormat="false" ht="15" hidden="false" customHeight="false" outlineLevel="0" collapsed="false">
      <c r="A165" s="6" t="n">
        <v>161</v>
      </c>
      <c r="B165" s="6" t="s">
        <v>537</v>
      </c>
      <c r="C165" s="6" t="s">
        <v>33</v>
      </c>
      <c r="D165" s="6" t="s">
        <v>538</v>
      </c>
      <c r="E165" s="6" t="n">
        <f aca="false">COUNTIF('Reference Log'!$E$2:$E$797,B165)</f>
        <v>1</v>
      </c>
      <c r="F165" s="6" t="n">
        <f aca="false">SUMIFS('Reference Log'!$J$2:$J$797,'Reference Log'!$E$2:$E$797,B165)</f>
        <v>1</v>
      </c>
      <c r="G165" s="7" t="n">
        <f aca="false">_xlfn.MINIFS('Reference Log'!$A$2:$A$797,'Reference Log'!$E$2:$E$797,B165)</f>
        <v>46311</v>
      </c>
      <c r="H165" s="7" t="n">
        <f aca="false">_xlfn.MAXIFS('Reference Log'!$A$2:$A$797,'Reference Log'!$E$2:$E$797,B165)</f>
        <v>46311</v>
      </c>
      <c r="I165" s="7" t="n">
        <f aca="false">_xlfn.MAXIFS('Reference Log'!$D$2:$D$797,'Reference Log'!$E$2:$E$797,B165)</f>
        <v>46324</v>
      </c>
      <c r="J165" s="6" t="s">
        <v>539</v>
      </c>
      <c r="K165" s="6" t="s">
        <v>540</v>
      </c>
      <c r="L165" s="6" t="s">
        <v>128</v>
      </c>
    </row>
    <row r="166" customFormat="false" ht="15" hidden="false" customHeight="false" outlineLevel="0" collapsed="false">
      <c r="A166" s="6" t="n">
        <v>162</v>
      </c>
      <c r="B166" s="6" t="s">
        <v>541</v>
      </c>
      <c r="C166" s="6" t="s">
        <v>33</v>
      </c>
      <c r="D166" s="6" t="s">
        <v>542</v>
      </c>
      <c r="E166" s="6" t="n">
        <f aca="false">COUNTIF('Reference Log'!$E$2:$E$797,B166)</f>
        <v>1</v>
      </c>
      <c r="F166" s="6" t="n">
        <f aca="false">SUMIFS('Reference Log'!$J$2:$J$797,'Reference Log'!$E$2:$E$797,B166)</f>
        <v>1</v>
      </c>
      <c r="G166" s="7" t="n">
        <f aca="false">_xlfn.MINIFS('Reference Log'!$A$2:$A$797,'Reference Log'!$E$2:$E$797,B166)</f>
        <v>46296</v>
      </c>
      <c r="H166" s="7" t="n">
        <f aca="false">_xlfn.MAXIFS('Reference Log'!$A$2:$A$797,'Reference Log'!$E$2:$E$797,B166)</f>
        <v>46296</v>
      </c>
      <c r="I166" s="7" t="n">
        <f aca="false">_xlfn.MAXIFS('Reference Log'!$D$2:$D$797,'Reference Log'!$E$2:$E$797,B166)</f>
        <v>46299</v>
      </c>
      <c r="J166" s="6" t="s">
        <v>257</v>
      </c>
      <c r="K166" s="6" t="s">
        <v>543</v>
      </c>
      <c r="L166" s="6" t="s">
        <v>128</v>
      </c>
    </row>
    <row r="167" customFormat="false" ht="15" hidden="false" customHeight="false" outlineLevel="0" collapsed="false">
      <c r="A167" s="4" t="n">
        <v>163</v>
      </c>
      <c r="B167" s="4" t="s">
        <v>544</v>
      </c>
      <c r="C167" s="4" t="s">
        <v>282</v>
      </c>
      <c r="D167" s="4" t="s">
        <v>545</v>
      </c>
      <c r="E167" s="4" t="n">
        <f aca="false">COUNTIF('Reference Log'!$E$2:$E$797,B167)</f>
        <v>1</v>
      </c>
      <c r="F167" s="4" t="n">
        <f aca="false">SUMIFS('Reference Log'!$J$2:$J$797,'Reference Log'!$E$2:$E$797,B167)</f>
        <v>1</v>
      </c>
      <c r="G167" s="5" t="n">
        <f aca="false">_xlfn.MINIFS('Reference Log'!$A$2:$A$797,'Reference Log'!$E$2:$E$797,B167)</f>
        <v>46249</v>
      </c>
      <c r="H167" s="5" t="n">
        <f aca="false">_xlfn.MAXIFS('Reference Log'!$A$2:$A$797,'Reference Log'!$E$2:$E$797,B167)</f>
        <v>46249</v>
      </c>
      <c r="I167" s="5" t="n">
        <f aca="false">_xlfn.MAXIFS('Reference Log'!$D$2:$D$797,'Reference Log'!$E$2:$E$797,B167)</f>
        <v>46251</v>
      </c>
      <c r="J167" s="4" t="s">
        <v>546</v>
      </c>
      <c r="K167" s="4" t="s">
        <v>547</v>
      </c>
      <c r="L167" s="4" t="s">
        <v>128</v>
      </c>
    </row>
    <row r="168" customFormat="false" ht="15" hidden="false" customHeight="false" outlineLevel="0" collapsed="false">
      <c r="A168" s="4" t="n">
        <v>164</v>
      </c>
      <c r="B168" s="4" t="s">
        <v>548</v>
      </c>
      <c r="C168" s="4" t="s">
        <v>154</v>
      </c>
      <c r="D168" s="4" t="s">
        <v>549</v>
      </c>
      <c r="E168" s="4" t="n">
        <f aca="false">COUNTIF('Reference Log'!$E$2:$E$797,B168)</f>
        <v>1</v>
      </c>
      <c r="F168" s="4" t="n">
        <f aca="false">SUMIFS('Reference Log'!$J$2:$J$797,'Reference Log'!$E$2:$E$797,B168)</f>
        <v>1</v>
      </c>
      <c r="G168" s="5" t="n">
        <f aca="false">_xlfn.MINIFS('Reference Log'!$A$2:$A$797,'Reference Log'!$E$2:$E$797,B168)</f>
        <v>46114</v>
      </c>
      <c r="H168" s="5" t="n">
        <f aca="false">_xlfn.MAXIFS('Reference Log'!$A$2:$A$797,'Reference Log'!$E$2:$E$797,B168)</f>
        <v>46114</v>
      </c>
      <c r="I168" s="5" t="n">
        <f aca="false">_xlfn.MAXIFS('Reference Log'!$D$2:$D$797,'Reference Log'!$E$2:$E$797,B168)</f>
        <v>46115</v>
      </c>
      <c r="J168" s="4" t="s">
        <v>550</v>
      </c>
      <c r="K168" s="4" t="s">
        <v>215</v>
      </c>
      <c r="L168" s="4" t="s">
        <v>128</v>
      </c>
    </row>
    <row r="169" customFormat="false" ht="15" hidden="false" customHeight="false" outlineLevel="0" collapsed="false">
      <c r="A169" s="4" t="n">
        <v>165</v>
      </c>
      <c r="B169" s="4" t="s">
        <v>551</v>
      </c>
      <c r="C169" s="4" t="s">
        <v>27</v>
      </c>
      <c r="D169" s="4" t="s">
        <v>552</v>
      </c>
      <c r="E169" s="4" t="n">
        <f aca="false">COUNTIF('Reference Log'!$E$2:$E$797,B169)</f>
        <v>1</v>
      </c>
      <c r="F169" s="4" t="n">
        <f aca="false">SUMIFS('Reference Log'!$J$2:$J$797,'Reference Log'!$E$2:$E$797,B169)</f>
        <v>1</v>
      </c>
      <c r="G169" s="5" t="n">
        <f aca="false">_xlfn.MINIFS('Reference Log'!$A$2:$A$797,'Reference Log'!$E$2:$E$797,B169)</f>
        <v>46055</v>
      </c>
      <c r="H169" s="5" t="n">
        <f aca="false">_xlfn.MAXIFS('Reference Log'!$A$2:$A$797,'Reference Log'!$E$2:$E$797,B169)</f>
        <v>46055</v>
      </c>
      <c r="I169" s="5" t="n">
        <f aca="false">_xlfn.MAXIFS('Reference Log'!$D$2:$D$797,'Reference Log'!$E$2:$E$797,B169)</f>
        <v>46065</v>
      </c>
      <c r="J169" s="4" t="s">
        <v>553</v>
      </c>
      <c r="K169" s="4" t="s">
        <v>123</v>
      </c>
      <c r="L169" s="4" t="s">
        <v>124</v>
      </c>
    </row>
    <row r="170" customFormat="false" ht="15" hidden="false" customHeight="false" outlineLevel="0" collapsed="false">
      <c r="A170" s="4" t="n">
        <v>166</v>
      </c>
      <c r="B170" s="4" t="s">
        <v>554</v>
      </c>
      <c r="C170" s="4" t="s">
        <v>21</v>
      </c>
      <c r="D170" s="4" t="s">
        <v>555</v>
      </c>
      <c r="E170" s="4" t="n">
        <f aca="false">COUNTIF('Reference Log'!$E$2:$E$797,B170)</f>
        <v>1</v>
      </c>
      <c r="F170" s="4" t="n">
        <f aca="false">SUMIFS('Reference Log'!$J$2:$J$797,'Reference Log'!$E$2:$E$797,B170)</f>
        <v>1</v>
      </c>
      <c r="G170" s="5" t="n">
        <f aca="false">_xlfn.MINIFS('Reference Log'!$A$2:$A$797,'Reference Log'!$E$2:$E$797,B170)</f>
        <v>46214</v>
      </c>
      <c r="H170" s="5" t="n">
        <f aca="false">_xlfn.MAXIFS('Reference Log'!$A$2:$A$797,'Reference Log'!$E$2:$E$797,B170)</f>
        <v>46214</v>
      </c>
      <c r="I170" s="5" t="n">
        <f aca="false">_xlfn.MAXIFS('Reference Log'!$D$2:$D$797,'Reference Log'!$E$2:$E$797,B170)</f>
        <v>46223</v>
      </c>
      <c r="J170" s="4" t="s">
        <v>556</v>
      </c>
      <c r="K170" s="4" t="s">
        <v>123</v>
      </c>
      <c r="L170" s="4" t="s">
        <v>124</v>
      </c>
    </row>
    <row r="171" customFormat="false" ht="15" hidden="false" customHeight="false" outlineLevel="0" collapsed="false">
      <c r="A171" s="4" t="n">
        <v>167</v>
      </c>
      <c r="B171" s="4" t="s">
        <v>557</v>
      </c>
      <c r="C171" s="4" t="s">
        <v>107</v>
      </c>
      <c r="D171" s="4" t="s">
        <v>142</v>
      </c>
      <c r="E171" s="4" t="n">
        <f aca="false">COUNTIF('Reference Log'!$E$2:$E$797,B171)</f>
        <v>1</v>
      </c>
      <c r="F171" s="4" t="n">
        <f aca="false">SUMIFS('Reference Log'!$J$2:$J$797,'Reference Log'!$E$2:$E$797,B171)</f>
        <v>1</v>
      </c>
      <c r="G171" s="5" t="n">
        <f aca="false">_xlfn.MINIFS('Reference Log'!$A$2:$A$797,'Reference Log'!$E$2:$E$797,B171)</f>
        <v>45962</v>
      </c>
      <c r="H171" s="5" t="n">
        <f aca="false">_xlfn.MAXIFS('Reference Log'!$A$2:$A$797,'Reference Log'!$E$2:$E$797,B171)</f>
        <v>45962</v>
      </c>
      <c r="I171" s="5" t="n">
        <f aca="false">_xlfn.MAXIFS('Reference Log'!$D$2:$D$797,'Reference Log'!$E$2:$E$797,B171)</f>
        <v>45963</v>
      </c>
      <c r="J171" s="4" t="s">
        <v>558</v>
      </c>
      <c r="K171" s="4" t="s">
        <v>559</v>
      </c>
      <c r="L171" s="4" t="s">
        <v>128</v>
      </c>
    </row>
    <row r="172" customFormat="false" ht="15" hidden="false" customHeight="false" outlineLevel="0" collapsed="false">
      <c r="A172" s="4" t="n">
        <v>168</v>
      </c>
      <c r="B172" s="4" t="s">
        <v>560</v>
      </c>
      <c r="C172" s="4" t="s">
        <v>15</v>
      </c>
      <c r="D172" s="4" t="s">
        <v>377</v>
      </c>
      <c r="E172" s="4" t="n">
        <f aca="false">COUNTIF('Reference Log'!$E$2:$E$797,B172)</f>
        <v>1</v>
      </c>
      <c r="F172" s="4" t="n">
        <f aca="false">SUMIFS('Reference Log'!$J$2:$J$797,'Reference Log'!$E$2:$E$797,B172)</f>
        <v>1</v>
      </c>
      <c r="G172" s="5" t="n">
        <f aca="false">_xlfn.MINIFS('Reference Log'!$A$2:$A$797,'Reference Log'!$E$2:$E$797,B172)</f>
        <v>46099</v>
      </c>
      <c r="H172" s="5" t="n">
        <f aca="false">_xlfn.MAXIFS('Reference Log'!$A$2:$A$797,'Reference Log'!$E$2:$E$797,B172)</f>
        <v>46099</v>
      </c>
      <c r="I172" s="5" t="n">
        <f aca="false">_xlfn.MAXIFS('Reference Log'!$D$2:$D$797,'Reference Log'!$E$2:$E$797,B172)</f>
        <v>46113</v>
      </c>
      <c r="J172" s="4" t="s">
        <v>561</v>
      </c>
      <c r="K172" s="4" t="s">
        <v>562</v>
      </c>
      <c r="L172" s="4" t="s">
        <v>128</v>
      </c>
    </row>
    <row r="174" customFormat="false" ht="15" hidden="false" customHeight="false" outlineLevel="0" collapsed="false">
      <c r="A174" s="8" t="s">
        <v>563</v>
      </c>
    </row>
  </sheetData>
  <autoFilter ref="A4:L1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52"/>
    <col collapsed="false" customWidth="true" hidden="false" outlineLevel="0" max="4" min="4" style="0" width="12"/>
    <col collapsed="false" customWidth="true" hidden="false" outlineLevel="0" max="5" min="5" style="0" width="46"/>
    <col collapsed="false" customWidth="true" hidden="false" outlineLevel="0" max="6" min="6" style="0" width="26"/>
    <col collapsed="false" customWidth="true" hidden="false" outlineLevel="0" max="7" min="7" style="0" width="34"/>
    <col collapsed="false" customWidth="true" hidden="false" outlineLevel="0" max="8" min="8" style="0" width="40"/>
    <col collapsed="false" customWidth="true" hidden="false" outlineLevel="0" max="9" min="9" style="0" width="20"/>
    <col collapsed="false" customWidth="true" hidden="false" outlineLevel="0" max="10" min="10" style="0" width="14"/>
  </cols>
  <sheetData>
    <row r="1" customFormat="false" ht="52.2" hidden="false" customHeight="false" outlineLevel="0" collapsed="false">
      <c r="A1" s="3" t="s">
        <v>564</v>
      </c>
      <c r="B1" s="3" t="s">
        <v>565</v>
      </c>
      <c r="C1" s="3" t="s">
        <v>566</v>
      </c>
      <c r="D1" s="3" t="s">
        <v>567</v>
      </c>
      <c r="E1" s="3" t="s">
        <v>568</v>
      </c>
      <c r="F1" s="3" t="s">
        <v>569</v>
      </c>
      <c r="G1" s="3" t="s">
        <v>5</v>
      </c>
      <c r="H1" s="3" t="s">
        <v>570</v>
      </c>
      <c r="I1" s="3" t="s">
        <v>571</v>
      </c>
      <c r="J1" s="3" t="s">
        <v>572</v>
      </c>
    </row>
    <row r="2" customFormat="false" ht="15" hidden="false" customHeight="false" outlineLevel="0" collapsed="false">
      <c r="A2" s="9" t="n">
        <v>45932</v>
      </c>
      <c r="B2" s="10" t="s">
        <v>573</v>
      </c>
      <c r="C2" s="10" t="s">
        <v>437</v>
      </c>
      <c r="D2" s="9" t="n">
        <v>45934</v>
      </c>
      <c r="E2" s="10" t="s">
        <v>436</v>
      </c>
      <c r="F2" s="10" t="s">
        <v>15</v>
      </c>
      <c r="G2" s="10" t="s">
        <v>155</v>
      </c>
      <c r="H2" s="10" t="s">
        <v>438</v>
      </c>
      <c r="I2" s="11" t="s">
        <v>574</v>
      </c>
      <c r="J2" s="10" t="n">
        <f aca="false">IF(COUNTIFS($E$2:E2,E2,$A$2:A2,A2)=1,1,0)</f>
        <v>1</v>
      </c>
    </row>
    <row r="3" customFormat="false" ht="15" hidden="false" customHeight="false" outlineLevel="0" collapsed="false">
      <c r="A3" s="9" t="n">
        <v>45932</v>
      </c>
      <c r="B3" s="10" t="s">
        <v>573</v>
      </c>
      <c r="C3" s="10" t="s">
        <v>575</v>
      </c>
      <c r="D3" s="9" t="n">
        <v>45937</v>
      </c>
      <c r="E3" s="10" t="s">
        <v>62</v>
      </c>
      <c r="F3" s="10" t="s">
        <v>15</v>
      </c>
      <c r="G3" s="10" t="s">
        <v>63</v>
      </c>
      <c r="H3" s="10" t="s">
        <v>41</v>
      </c>
      <c r="I3" s="11" t="s">
        <v>574</v>
      </c>
      <c r="J3" s="10" t="n">
        <f aca="false">IF(COUNTIFS($E$2:E3,E3,$A$2:A3,A3)=1,1,0)</f>
        <v>1</v>
      </c>
    </row>
    <row r="4" customFormat="false" ht="15" hidden="false" customHeight="false" outlineLevel="0" collapsed="false">
      <c r="A4" s="9" t="n">
        <v>45932</v>
      </c>
      <c r="B4" s="10" t="s">
        <v>573</v>
      </c>
      <c r="C4" s="10" t="s">
        <v>576</v>
      </c>
      <c r="D4" s="9" t="n">
        <v>45937</v>
      </c>
      <c r="E4" s="10" t="s">
        <v>20</v>
      </c>
      <c r="F4" s="10" t="s">
        <v>21</v>
      </c>
      <c r="G4" s="10" t="s">
        <v>22</v>
      </c>
      <c r="H4" s="10" t="s">
        <v>24</v>
      </c>
      <c r="I4" s="11" t="s">
        <v>574</v>
      </c>
      <c r="J4" s="10" t="n">
        <f aca="false">IF(COUNTIFS($E$2:E4,E4,$A$2:A4,A4)=1,1,0)</f>
        <v>1</v>
      </c>
    </row>
    <row r="5" customFormat="false" ht="15" hidden="false" customHeight="false" outlineLevel="0" collapsed="false">
      <c r="A5" s="9" t="n">
        <v>45932</v>
      </c>
      <c r="B5" s="10" t="s">
        <v>573</v>
      </c>
      <c r="C5" s="10" t="s">
        <v>577</v>
      </c>
      <c r="D5" s="9" t="n">
        <v>45939</v>
      </c>
      <c r="E5" s="10" t="s">
        <v>71</v>
      </c>
      <c r="F5" s="10" t="s">
        <v>27</v>
      </c>
      <c r="G5" s="10" t="s">
        <v>72</v>
      </c>
      <c r="H5" s="10"/>
      <c r="I5" s="11" t="s">
        <v>574</v>
      </c>
      <c r="J5" s="10" t="n">
        <f aca="false">IF(COUNTIFS($E$2:E5,E5,$A$2:A5,A5)=1,1,0)</f>
        <v>1</v>
      </c>
    </row>
    <row r="6" customFormat="false" ht="15" hidden="false" customHeight="false" outlineLevel="0" collapsed="false">
      <c r="A6" s="9" t="n">
        <v>45932</v>
      </c>
      <c r="B6" s="10" t="s">
        <v>573</v>
      </c>
      <c r="C6" s="10" t="s">
        <v>578</v>
      </c>
      <c r="D6" s="9" t="n">
        <v>45940</v>
      </c>
      <c r="E6" s="10" t="s">
        <v>14</v>
      </c>
      <c r="F6" s="10" t="s">
        <v>15</v>
      </c>
      <c r="G6" s="10" t="s">
        <v>16</v>
      </c>
      <c r="H6" s="10" t="s">
        <v>579</v>
      </c>
      <c r="I6" s="11" t="s">
        <v>574</v>
      </c>
      <c r="J6" s="10" t="n">
        <f aca="false">IF(COUNTIFS($E$2:E6,E6,$A$2:A6,A6)=1,1,0)</f>
        <v>1</v>
      </c>
    </row>
    <row r="7" customFormat="false" ht="15" hidden="false" customHeight="false" outlineLevel="0" collapsed="false">
      <c r="A7" s="9" t="n">
        <v>45932</v>
      </c>
      <c r="B7" s="10" t="s">
        <v>573</v>
      </c>
      <c r="C7" s="10" t="s">
        <v>580</v>
      </c>
      <c r="D7" s="9" t="n">
        <v>45944</v>
      </c>
      <c r="E7" s="10" t="s">
        <v>53</v>
      </c>
      <c r="F7" s="10" t="s">
        <v>15</v>
      </c>
      <c r="G7" s="10" t="s">
        <v>54</v>
      </c>
      <c r="H7" s="10" t="s">
        <v>115</v>
      </c>
      <c r="I7" s="11" t="s">
        <v>574</v>
      </c>
      <c r="J7" s="10" t="n">
        <f aca="false">IF(COUNTIFS($E$2:E7,E7,$A$2:A7,A7)=1,1,0)</f>
        <v>1</v>
      </c>
    </row>
    <row r="8" customFormat="false" ht="15" hidden="false" customHeight="false" outlineLevel="0" collapsed="false">
      <c r="A8" s="9" t="n">
        <v>45932</v>
      </c>
      <c r="B8" s="10" t="s">
        <v>573</v>
      </c>
      <c r="C8" s="10" t="s">
        <v>293</v>
      </c>
      <c r="D8" s="9" t="n">
        <v>45949</v>
      </c>
      <c r="E8" s="10" t="s">
        <v>291</v>
      </c>
      <c r="F8" s="10" t="s">
        <v>15</v>
      </c>
      <c r="G8" s="10" t="s">
        <v>292</v>
      </c>
      <c r="H8" s="10"/>
      <c r="I8" s="11" t="s">
        <v>574</v>
      </c>
      <c r="J8" s="10" t="n">
        <f aca="false">IF(COUNTIFS($E$2:E8,E8,$A$2:A8,A8)=1,1,0)</f>
        <v>1</v>
      </c>
    </row>
    <row r="9" customFormat="false" ht="15" hidden="false" customHeight="false" outlineLevel="0" collapsed="false">
      <c r="A9" s="9" t="n">
        <v>45932</v>
      </c>
      <c r="B9" s="10" t="s">
        <v>573</v>
      </c>
      <c r="C9" s="10" t="s">
        <v>581</v>
      </c>
      <c r="D9" s="9" t="n">
        <v>45949</v>
      </c>
      <c r="E9" s="10" t="s">
        <v>38</v>
      </c>
      <c r="F9" s="10" t="s">
        <v>15</v>
      </c>
      <c r="G9" s="10" t="s">
        <v>39</v>
      </c>
      <c r="H9" s="10"/>
      <c r="I9" s="11" t="s">
        <v>574</v>
      </c>
      <c r="J9" s="10" t="n">
        <f aca="false">IF(COUNTIFS($E$2:E9,E9,$A$2:A9,A9)=1,1,0)</f>
        <v>1</v>
      </c>
    </row>
    <row r="10" customFormat="false" ht="15" hidden="false" customHeight="false" outlineLevel="0" collapsed="false">
      <c r="A10" s="9" t="n">
        <v>45932</v>
      </c>
      <c r="B10" s="10" t="s">
        <v>573</v>
      </c>
      <c r="C10" s="10" t="s">
        <v>582</v>
      </c>
      <c r="D10" s="9" t="n">
        <v>45953</v>
      </c>
      <c r="E10" s="10" t="s">
        <v>26</v>
      </c>
      <c r="F10" s="10" t="s">
        <v>27</v>
      </c>
      <c r="G10" s="10" t="s">
        <v>28</v>
      </c>
      <c r="H10" s="10" t="s">
        <v>30</v>
      </c>
      <c r="I10" s="11" t="s">
        <v>574</v>
      </c>
      <c r="J10" s="10" t="n">
        <f aca="false">IF(COUNTIFS($E$2:E10,E10,$A$2:A10,A10)=1,1,0)</f>
        <v>1</v>
      </c>
    </row>
    <row r="11" customFormat="false" ht="15" hidden="false" customHeight="false" outlineLevel="0" collapsed="false">
      <c r="A11" s="9" t="n">
        <v>45932</v>
      </c>
      <c r="B11" s="10" t="s">
        <v>573</v>
      </c>
      <c r="C11" s="10" t="s">
        <v>583</v>
      </c>
      <c r="D11" s="9" t="n">
        <v>45953</v>
      </c>
      <c r="E11" s="10" t="s">
        <v>32</v>
      </c>
      <c r="F11" s="10" t="s">
        <v>33</v>
      </c>
      <c r="G11" s="10" t="s">
        <v>34</v>
      </c>
      <c r="H11" s="10" t="s">
        <v>36</v>
      </c>
      <c r="I11" s="11" t="s">
        <v>574</v>
      </c>
      <c r="J11" s="10" t="n">
        <f aca="false">IF(COUNTIFS($E$2:E11,E11,$A$2:A11,A11)=1,1,0)</f>
        <v>1</v>
      </c>
    </row>
    <row r="12" customFormat="false" ht="15" hidden="false" customHeight="false" outlineLevel="0" collapsed="false">
      <c r="A12" s="9" t="n">
        <v>45932</v>
      </c>
      <c r="B12" s="10" t="s">
        <v>573</v>
      </c>
      <c r="C12" s="10" t="s">
        <v>584</v>
      </c>
      <c r="D12" s="9" t="n">
        <v>45954</v>
      </c>
      <c r="E12" s="10" t="s">
        <v>32</v>
      </c>
      <c r="F12" s="10" t="s">
        <v>33</v>
      </c>
      <c r="G12" s="10" t="s">
        <v>34</v>
      </c>
      <c r="H12" s="10" t="s">
        <v>36</v>
      </c>
      <c r="I12" s="11" t="s">
        <v>574</v>
      </c>
      <c r="J12" s="10" t="n">
        <f aca="false">IF(COUNTIFS($E$2:E12,E12,$A$2:A12,A12)=1,1,0)</f>
        <v>0</v>
      </c>
    </row>
    <row r="13" customFormat="false" ht="15" hidden="false" customHeight="false" outlineLevel="0" collapsed="false">
      <c r="A13" s="9" t="n">
        <v>45932</v>
      </c>
      <c r="B13" s="10" t="s">
        <v>573</v>
      </c>
      <c r="C13" s="10" t="s">
        <v>218</v>
      </c>
      <c r="D13" s="9" t="n">
        <v>45955</v>
      </c>
      <c r="E13" s="10" t="s">
        <v>216</v>
      </c>
      <c r="F13" s="10" t="s">
        <v>15</v>
      </c>
      <c r="G13" s="10" t="s">
        <v>217</v>
      </c>
      <c r="H13" s="10"/>
      <c r="I13" s="11" t="s">
        <v>574</v>
      </c>
      <c r="J13" s="10" t="n">
        <f aca="false">IF(COUNTIFS($E$2:E13,E13,$A$2:A13,A13)=1,1,0)</f>
        <v>1</v>
      </c>
    </row>
    <row r="14" customFormat="false" ht="15" hidden="false" customHeight="false" outlineLevel="0" collapsed="false">
      <c r="A14" s="9" t="n">
        <v>45932</v>
      </c>
      <c r="B14" s="10" t="s">
        <v>573</v>
      </c>
      <c r="C14" s="10" t="s">
        <v>585</v>
      </c>
      <c r="D14" s="9" t="n">
        <v>45957</v>
      </c>
      <c r="E14" s="10" t="s">
        <v>32</v>
      </c>
      <c r="F14" s="10" t="s">
        <v>33</v>
      </c>
      <c r="G14" s="10" t="s">
        <v>34</v>
      </c>
      <c r="H14" s="10" t="s">
        <v>354</v>
      </c>
      <c r="I14" s="11" t="s">
        <v>574</v>
      </c>
      <c r="J14" s="10" t="n">
        <f aca="false">IF(COUNTIFS($E$2:E14,E14,$A$2:A14,A14)=1,1,0)</f>
        <v>0</v>
      </c>
    </row>
    <row r="15" customFormat="false" ht="15" hidden="false" customHeight="false" outlineLevel="0" collapsed="false">
      <c r="A15" s="9" t="n">
        <v>45932</v>
      </c>
      <c r="B15" s="10" t="s">
        <v>573</v>
      </c>
      <c r="C15" s="10" t="s">
        <v>586</v>
      </c>
      <c r="D15" s="9" t="n">
        <v>45961</v>
      </c>
      <c r="E15" s="10" t="s">
        <v>14</v>
      </c>
      <c r="F15" s="10" t="s">
        <v>15</v>
      </c>
      <c r="G15" s="10" t="s">
        <v>16</v>
      </c>
      <c r="H15" s="10"/>
      <c r="I15" s="11" t="s">
        <v>574</v>
      </c>
      <c r="J15" s="10" t="n">
        <f aca="false">IF(COUNTIFS($E$2:E15,E15,$A$2:A15,A15)=1,1,0)</f>
        <v>0</v>
      </c>
    </row>
    <row r="16" customFormat="false" ht="15" hidden="false" customHeight="false" outlineLevel="0" collapsed="false">
      <c r="A16" s="9" t="n">
        <v>45932</v>
      </c>
      <c r="B16" s="10" t="s">
        <v>573</v>
      </c>
      <c r="C16" s="10" t="s">
        <v>587</v>
      </c>
      <c r="D16" s="9" t="n">
        <v>45962</v>
      </c>
      <c r="E16" s="10" t="s">
        <v>186</v>
      </c>
      <c r="F16" s="10" t="s">
        <v>33</v>
      </c>
      <c r="G16" s="10" t="s">
        <v>187</v>
      </c>
      <c r="H16" s="10"/>
      <c r="I16" s="11" t="s">
        <v>574</v>
      </c>
      <c r="J16" s="10" t="n">
        <f aca="false">IF(COUNTIFS($E$2:E16,E16,$A$2:A16,A16)=1,1,0)</f>
        <v>1</v>
      </c>
    </row>
    <row r="17" customFormat="false" ht="15" hidden="false" customHeight="false" outlineLevel="0" collapsed="false">
      <c r="A17" s="9" t="n">
        <v>45947</v>
      </c>
      <c r="B17" s="10" t="s">
        <v>588</v>
      </c>
      <c r="C17" s="10" t="s">
        <v>293</v>
      </c>
      <c r="D17" s="9" t="n">
        <v>45949</v>
      </c>
      <c r="E17" s="10" t="s">
        <v>291</v>
      </c>
      <c r="F17" s="10" t="s">
        <v>15</v>
      </c>
      <c r="G17" s="10" t="s">
        <v>292</v>
      </c>
      <c r="H17" s="10"/>
      <c r="I17" s="11" t="s">
        <v>589</v>
      </c>
      <c r="J17" s="10" t="n">
        <f aca="false">IF(COUNTIFS($E$2:E17,E17,$A$2:A17,A17)=1,1,0)</f>
        <v>1</v>
      </c>
    </row>
    <row r="18" customFormat="false" ht="15" hidden="false" customHeight="false" outlineLevel="0" collapsed="false">
      <c r="A18" s="9" t="n">
        <v>45947</v>
      </c>
      <c r="B18" s="10" t="s">
        <v>588</v>
      </c>
      <c r="C18" s="10" t="s">
        <v>586</v>
      </c>
      <c r="D18" s="9" t="n">
        <v>45961</v>
      </c>
      <c r="E18" s="10" t="s">
        <v>14</v>
      </c>
      <c r="F18" s="10" t="s">
        <v>15</v>
      </c>
      <c r="G18" s="10" t="s">
        <v>16</v>
      </c>
      <c r="H18" s="10"/>
      <c r="I18" s="11" t="s">
        <v>589</v>
      </c>
      <c r="J18" s="10" t="n">
        <f aca="false">IF(COUNTIFS($E$2:E18,E18,$A$2:A18,A18)=1,1,0)</f>
        <v>1</v>
      </c>
    </row>
    <row r="19" customFormat="false" ht="15" hidden="false" customHeight="false" outlineLevel="0" collapsed="false">
      <c r="A19" s="9" t="n">
        <v>45947</v>
      </c>
      <c r="B19" s="10" t="s">
        <v>588</v>
      </c>
      <c r="C19" s="10" t="s">
        <v>587</v>
      </c>
      <c r="D19" s="9" t="n">
        <v>45962</v>
      </c>
      <c r="E19" s="10" t="s">
        <v>212</v>
      </c>
      <c r="F19" s="10" t="s">
        <v>15</v>
      </c>
      <c r="G19" s="10" t="s">
        <v>213</v>
      </c>
      <c r="H19" s="10"/>
      <c r="I19" s="11" t="s">
        <v>589</v>
      </c>
      <c r="J19" s="10" t="n">
        <f aca="false">IF(COUNTIFS($E$2:E19,E19,$A$2:A19,A19)=1,1,0)</f>
        <v>1</v>
      </c>
    </row>
    <row r="20" customFormat="false" ht="15" hidden="false" customHeight="false" outlineLevel="0" collapsed="false">
      <c r="A20" s="9" t="n">
        <v>45962</v>
      </c>
      <c r="B20" s="10" t="s">
        <v>590</v>
      </c>
      <c r="C20" s="10" t="s">
        <v>587</v>
      </c>
      <c r="D20" s="9" t="n">
        <v>45962</v>
      </c>
      <c r="E20" s="10" t="s">
        <v>212</v>
      </c>
      <c r="F20" s="10" t="s">
        <v>15</v>
      </c>
      <c r="G20" s="10" t="s">
        <v>213</v>
      </c>
      <c r="H20" s="10"/>
      <c r="I20" s="11" t="s">
        <v>591</v>
      </c>
      <c r="J20" s="10" t="n">
        <f aca="false">IF(COUNTIFS($E$2:E20,E20,$A$2:A20,A20)=1,1,0)</f>
        <v>1</v>
      </c>
    </row>
    <row r="21" customFormat="false" ht="15" hidden="false" customHeight="false" outlineLevel="0" collapsed="false">
      <c r="A21" s="9" t="n">
        <v>45962</v>
      </c>
      <c r="B21" s="10" t="s">
        <v>590</v>
      </c>
      <c r="C21" s="10" t="s">
        <v>576</v>
      </c>
      <c r="D21" s="9" t="n">
        <v>45963</v>
      </c>
      <c r="E21" s="10" t="s">
        <v>20</v>
      </c>
      <c r="F21" s="10" t="s">
        <v>21</v>
      </c>
      <c r="G21" s="10" t="s">
        <v>22</v>
      </c>
      <c r="H21" s="10" t="s">
        <v>24</v>
      </c>
      <c r="I21" s="11" t="s">
        <v>591</v>
      </c>
      <c r="J21" s="10" t="n">
        <f aca="false">IF(COUNTIFS($E$2:E21,E21,$A$2:A21,A21)=1,1,0)</f>
        <v>1</v>
      </c>
    </row>
    <row r="22" customFormat="false" ht="15" hidden="false" customHeight="false" outlineLevel="0" collapsed="false">
      <c r="A22" s="9" t="n">
        <v>45962</v>
      </c>
      <c r="B22" s="10" t="s">
        <v>590</v>
      </c>
      <c r="C22" s="10" t="s">
        <v>558</v>
      </c>
      <c r="D22" s="9" t="n">
        <v>45963</v>
      </c>
      <c r="E22" s="10" t="s">
        <v>557</v>
      </c>
      <c r="F22" s="10" t="s">
        <v>107</v>
      </c>
      <c r="G22" s="10" t="s">
        <v>142</v>
      </c>
      <c r="H22" s="10" t="s">
        <v>559</v>
      </c>
      <c r="I22" s="11" t="s">
        <v>591</v>
      </c>
      <c r="J22" s="10" t="n">
        <f aca="false">IF(COUNTIFS($E$2:E22,E22,$A$2:A22,A22)=1,1,0)</f>
        <v>1</v>
      </c>
    </row>
    <row r="23" customFormat="false" ht="15" hidden="false" customHeight="false" outlineLevel="0" collapsed="false">
      <c r="A23" s="9" t="n">
        <v>45962</v>
      </c>
      <c r="B23" s="10" t="s">
        <v>590</v>
      </c>
      <c r="C23" s="10" t="s">
        <v>592</v>
      </c>
      <c r="D23" s="9" t="n">
        <v>45967</v>
      </c>
      <c r="E23" s="10" t="s">
        <v>48</v>
      </c>
      <c r="F23" s="10" t="s">
        <v>33</v>
      </c>
      <c r="G23" s="10" t="s">
        <v>49</v>
      </c>
      <c r="H23" s="10" t="s">
        <v>51</v>
      </c>
      <c r="I23" s="11" t="s">
        <v>591</v>
      </c>
      <c r="J23" s="10" t="n">
        <f aca="false">IF(COUNTIFS($E$2:E23,E23,$A$2:A23,A23)=1,1,0)</f>
        <v>1</v>
      </c>
    </row>
    <row r="24" customFormat="false" ht="15" hidden="false" customHeight="false" outlineLevel="0" collapsed="false">
      <c r="A24" s="9" t="n">
        <v>45962</v>
      </c>
      <c r="B24" s="10" t="s">
        <v>590</v>
      </c>
      <c r="C24" s="10" t="s">
        <v>593</v>
      </c>
      <c r="D24" s="9" t="n">
        <v>45967</v>
      </c>
      <c r="E24" s="10" t="s">
        <v>53</v>
      </c>
      <c r="F24" s="10" t="s">
        <v>15</v>
      </c>
      <c r="G24" s="10" t="s">
        <v>54</v>
      </c>
      <c r="H24" s="10" t="s">
        <v>594</v>
      </c>
      <c r="I24" s="11" t="s">
        <v>591</v>
      </c>
      <c r="J24" s="10" t="n">
        <f aca="false">IF(COUNTIFS($E$2:E24,E24,$A$2:A24,A24)=1,1,0)</f>
        <v>1</v>
      </c>
    </row>
    <row r="25" customFormat="false" ht="15" hidden="false" customHeight="false" outlineLevel="0" collapsed="false">
      <c r="A25" s="9" t="n">
        <v>45962</v>
      </c>
      <c r="B25" s="10" t="s">
        <v>590</v>
      </c>
      <c r="C25" s="10" t="s">
        <v>595</v>
      </c>
      <c r="D25" s="9" t="n">
        <v>45968</v>
      </c>
      <c r="E25" s="10" t="s">
        <v>86</v>
      </c>
      <c r="F25" s="10" t="s">
        <v>87</v>
      </c>
      <c r="G25" s="10" t="s">
        <v>88</v>
      </c>
      <c r="H25" s="10"/>
      <c r="I25" s="11" t="s">
        <v>591</v>
      </c>
      <c r="J25" s="10" t="n">
        <f aca="false">IF(COUNTIFS($E$2:E25,E25,$A$2:A25,A25)=1,1,0)</f>
        <v>1</v>
      </c>
    </row>
    <row r="26" customFormat="false" ht="15" hidden="false" customHeight="false" outlineLevel="0" collapsed="false">
      <c r="A26" s="9" t="n">
        <v>45962</v>
      </c>
      <c r="B26" s="10" t="s">
        <v>590</v>
      </c>
      <c r="C26" s="10" t="s">
        <v>596</v>
      </c>
      <c r="D26" s="9" t="n">
        <v>45968</v>
      </c>
      <c r="E26" s="10" t="s">
        <v>137</v>
      </c>
      <c r="F26" s="10" t="s">
        <v>33</v>
      </c>
      <c r="G26" s="10" t="s">
        <v>138</v>
      </c>
      <c r="H26" s="10" t="s">
        <v>41</v>
      </c>
      <c r="I26" s="11" t="s">
        <v>591</v>
      </c>
      <c r="J26" s="10" t="n">
        <f aca="false">IF(COUNTIFS($E$2:E26,E26,$A$2:A26,A26)=1,1,0)</f>
        <v>1</v>
      </c>
    </row>
    <row r="27" customFormat="false" ht="15" hidden="false" customHeight="false" outlineLevel="0" collapsed="false">
      <c r="A27" s="9" t="n">
        <v>45962</v>
      </c>
      <c r="B27" s="10" t="s">
        <v>590</v>
      </c>
      <c r="C27" s="10" t="s">
        <v>597</v>
      </c>
      <c r="D27" s="9" t="n">
        <v>45969</v>
      </c>
      <c r="E27" s="10" t="s">
        <v>165</v>
      </c>
      <c r="F27" s="10" t="s">
        <v>166</v>
      </c>
      <c r="G27" s="10" t="s">
        <v>167</v>
      </c>
      <c r="H27" s="10"/>
      <c r="I27" s="11" t="s">
        <v>591</v>
      </c>
      <c r="J27" s="10" t="n">
        <f aca="false">IF(COUNTIFS($E$2:E27,E27,$A$2:A27,A27)=1,1,0)</f>
        <v>1</v>
      </c>
    </row>
    <row r="28" customFormat="false" ht="15" hidden="false" customHeight="false" outlineLevel="0" collapsed="false">
      <c r="A28" s="9" t="n">
        <v>45962</v>
      </c>
      <c r="B28" s="10" t="s">
        <v>590</v>
      </c>
      <c r="C28" s="10" t="s">
        <v>598</v>
      </c>
      <c r="D28" s="9" t="n">
        <v>45970</v>
      </c>
      <c r="E28" s="10" t="s">
        <v>32</v>
      </c>
      <c r="F28" s="10" t="s">
        <v>33</v>
      </c>
      <c r="G28" s="10" t="s">
        <v>34</v>
      </c>
      <c r="H28" s="10" t="s">
        <v>536</v>
      </c>
      <c r="I28" s="11" t="s">
        <v>591</v>
      </c>
      <c r="J28" s="10" t="n">
        <f aca="false">IF(COUNTIFS($E$2:E28,E28,$A$2:A28,A28)=1,1,0)</f>
        <v>1</v>
      </c>
    </row>
    <row r="29" customFormat="false" ht="15" hidden="false" customHeight="false" outlineLevel="0" collapsed="false">
      <c r="A29" s="9" t="n">
        <v>45962</v>
      </c>
      <c r="B29" s="10" t="s">
        <v>590</v>
      </c>
      <c r="C29" s="10" t="s">
        <v>413</v>
      </c>
      <c r="D29" s="9" t="n">
        <v>45972</v>
      </c>
      <c r="E29" s="10" t="s">
        <v>496</v>
      </c>
      <c r="F29" s="10" t="s">
        <v>15</v>
      </c>
      <c r="G29" s="10" t="s">
        <v>28</v>
      </c>
      <c r="H29" s="10" t="s">
        <v>215</v>
      </c>
      <c r="I29" s="11" t="s">
        <v>591</v>
      </c>
      <c r="J29" s="10" t="n">
        <f aca="false">IF(COUNTIFS($E$2:E29,E29,$A$2:A29,A29)=1,1,0)</f>
        <v>1</v>
      </c>
    </row>
    <row r="30" customFormat="false" ht="15" hidden="false" customHeight="false" outlineLevel="0" collapsed="false">
      <c r="A30" s="9" t="n">
        <v>45962</v>
      </c>
      <c r="B30" s="10" t="s">
        <v>590</v>
      </c>
      <c r="C30" s="10" t="s">
        <v>599</v>
      </c>
      <c r="D30" s="9" t="n">
        <v>45976</v>
      </c>
      <c r="E30" s="10" t="s">
        <v>14</v>
      </c>
      <c r="F30" s="10" t="s">
        <v>15</v>
      </c>
      <c r="G30" s="10" t="s">
        <v>16</v>
      </c>
      <c r="H30" s="10" t="s">
        <v>600</v>
      </c>
      <c r="I30" s="11" t="s">
        <v>591</v>
      </c>
      <c r="J30" s="10" t="n">
        <f aca="false">IF(COUNTIFS($E$2:E30,E30,$A$2:A30,A30)=1,1,0)</f>
        <v>1</v>
      </c>
    </row>
    <row r="31" customFormat="false" ht="15" hidden="false" customHeight="false" outlineLevel="0" collapsed="false">
      <c r="A31" s="9" t="n">
        <v>45962</v>
      </c>
      <c r="B31" s="10" t="s">
        <v>590</v>
      </c>
      <c r="C31" s="10" t="s">
        <v>601</v>
      </c>
      <c r="D31" s="9" t="n">
        <v>45979</v>
      </c>
      <c r="E31" s="10" t="s">
        <v>48</v>
      </c>
      <c r="F31" s="10" t="s">
        <v>33</v>
      </c>
      <c r="G31" s="10" t="s">
        <v>49</v>
      </c>
      <c r="H31" s="10" t="s">
        <v>51</v>
      </c>
      <c r="I31" s="11" t="s">
        <v>591</v>
      </c>
      <c r="J31" s="10" t="n">
        <f aca="false">IF(COUNTIFS($E$2:E31,E31,$A$2:A31,A31)=1,1,0)</f>
        <v>0</v>
      </c>
    </row>
    <row r="32" customFormat="false" ht="15" hidden="false" customHeight="false" outlineLevel="0" collapsed="false">
      <c r="A32" s="9" t="n">
        <v>45962</v>
      </c>
      <c r="B32" s="10" t="s">
        <v>590</v>
      </c>
      <c r="C32" s="10" t="s">
        <v>602</v>
      </c>
      <c r="D32" s="9" t="n">
        <v>45980</v>
      </c>
      <c r="E32" s="10" t="s">
        <v>20</v>
      </c>
      <c r="F32" s="10" t="s">
        <v>21</v>
      </c>
      <c r="G32" s="10" t="s">
        <v>22</v>
      </c>
      <c r="H32" s="10" t="s">
        <v>24</v>
      </c>
      <c r="I32" s="11" t="s">
        <v>591</v>
      </c>
      <c r="J32" s="10" t="n">
        <f aca="false">IF(COUNTIFS($E$2:E32,E32,$A$2:A32,A32)=1,1,0)</f>
        <v>0</v>
      </c>
    </row>
    <row r="33" customFormat="false" ht="15" hidden="false" customHeight="false" outlineLevel="0" collapsed="false">
      <c r="A33" s="9" t="n">
        <v>45962</v>
      </c>
      <c r="B33" s="10" t="s">
        <v>590</v>
      </c>
      <c r="C33" s="10" t="s">
        <v>603</v>
      </c>
      <c r="D33" s="9" t="n">
        <v>45981</v>
      </c>
      <c r="E33" s="10" t="s">
        <v>26</v>
      </c>
      <c r="F33" s="10" t="s">
        <v>27</v>
      </c>
      <c r="G33" s="10" t="s">
        <v>28</v>
      </c>
      <c r="H33" s="10" t="s">
        <v>30</v>
      </c>
      <c r="I33" s="11" t="s">
        <v>591</v>
      </c>
      <c r="J33" s="10" t="n">
        <f aca="false">IF(COUNTIFS($E$2:E33,E33,$A$2:A33,A33)=1,1,0)</f>
        <v>1</v>
      </c>
    </row>
    <row r="34" customFormat="false" ht="15" hidden="false" customHeight="false" outlineLevel="0" collapsed="false">
      <c r="A34" s="9" t="n">
        <v>45962</v>
      </c>
      <c r="B34" s="10" t="s">
        <v>590</v>
      </c>
      <c r="C34" s="10" t="s">
        <v>604</v>
      </c>
      <c r="D34" s="9" t="n">
        <v>45981</v>
      </c>
      <c r="E34" s="10" t="s">
        <v>20</v>
      </c>
      <c r="F34" s="10" t="s">
        <v>21</v>
      </c>
      <c r="G34" s="10" t="s">
        <v>22</v>
      </c>
      <c r="H34" s="10" t="s">
        <v>24</v>
      </c>
      <c r="I34" s="11" t="s">
        <v>591</v>
      </c>
      <c r="J34" s="10" t="n">
        <f aca="false">IF(COUNTIFS($E$2:E34,E34,$A$2:A34,A34)=1,1,0)</f>
        <v>0</v>
      </c>
    </row>
    <row r="35" customFormat="false" ht="15" hidden="false" customHeight="false" outlineLevel="0" collapsed="false">
      <c r="A35" s="9" t="n">
        <v>45962</v>
      </c>
      <c r="B35" s="10" t="s">
        <v>590</v>
      </c>
      <c r="C35" s="10" t="s">
        <v>581</v>
      </c>
      <c r="D35" s="9" t="n">
        <v>45984</v>
      </c>
      <c r="E35" s="10" t="s">
        <v>38</v>
      </c>
      <c r="F35" s="10" t="s">
        <v>15</v>
      </c>
      <c r="G35" s="10" t="s">
        <v>39</v>
      </c>
      <c r="H35" s="10" t="s">
        <v>41</v>
      </c>
      <c r="I35" s="11" t="s">
        <v>591</v>
      </c>
      <c r="J35" s="10" t="n">
        <f aca="false">IF(COUNTIFS($E$2:E35,E35,$A$2:A35,A35)=1,1,0)</f>
        <v>1</v>
      </c>
    </row>
    <row r="36" customFormat="false" ht="15" hidden="false" customHeight="false" outlineLevel="0" collapsed="false">
      <c r="A36" s="9" t="n">
        <v>45962</v>
      </c>
      <c r="B36" s="10" t="s">
        <v>590</v>
      </c>
      <c r="C36" s="10" t="s">
        <v>353</v>
      </c>
      <c r="D36" s="9" t="n">
        <v>45985</v>
      </c>
      <c r="E36" s="10" t="s">
        <v>32</v>
      </c>
      <c r="F36" s="10" t="s">
        <v>33</v>
      </c>
      <c r="G36" s="10" t="s">
        <v>34</v>
      </c>
      <c r="H36" s="10" t="s">
        <v>354</v>
      </c>
      <c r="I36" s="11" t="s">
        <v>591</v>
      </c>
      <c r="J36" s="10" t="n">
        <f aca="false">IF(COUNTIFS($E$2:E36,E36,$A$2:A36,A36)=1,1,0)</f>
        <v>0</v>
      </c>
    </row>
    <row r="37" customFormat="false" ht="15" hidden="false" customHeight="false" outlineLevel="0" collapsed="false">
      <c r="A37" s="9" t="n">
        <v>45962</v>
      </c>
      <c r="B37" s="10" t="s">
        <v>590</v>
      </c>
      <c r="C37" s="10" t="s">
        <v>605</v>
      </c>
      <c r="D37" s="9" t="n">
        <v>45986</v>
      </c>
      <c r="E37" s="10" t="s">
        <v>32</v>
      </c>
      <c r="F37" s="10" t="s">
        <v>33</v>
      </c>
      <c r="G37" s="10" t="s">
        <v>34</v>
      </c>
      <c r="H37" s="10" t="s">
        <v>36</v>
      </c>
      <c r="I37" s="11" t="s">
        <v>591</v>
      </c>
      <c r="J37" s="10" t="n">
        <f aca="false">IF(COUNTIFS($E$2:E37,E37,$A$2:A37,A37)=1,1,0)</f>
        <v>0</v>
      </c>
    </row>
    <row r="38" customFormat="false" ht="15" hidden="false" customHeight="false" outlineLevel="0" collapsed="false">
      <c r="A38" s="9" t="n">
        <v>45962</v>
      </c>
      <c r="B38" s="10" t="s">
        <v>590</v>
      </c>
      <c r="C38" s="10" t="s">
        <v>606</v>
      </c>
      <c r="D38" s="9" t="n">
        <v>45989</v>
      </c>
      <c r="E38" s="10" t="s">
        <v>14</v>
      </c>
      <c r="F38" s="10" t="s">
        <v>15</v>
      </c>
      <c r="G38" s="10" t="s">
        <v>16</v>
      </c>
      <c r="H38" s="10"/>
      <c r="I38" s="11" t="s">
        <v>591</v>
      </c>
      <c r="J38" s="10" t="n">
        <f aca="false">IF(COUNTIFS($E$2:E38,E38,$A$2:A38,A38)=1,1,0)</f>
        <v>0</v>
      </c>
    </row>
    <row r="39" customFormat="false" ht="15" hidden="false" customHeight="false" outlineLevel="0" collapsed="false">
      <c r="A39" s="9" t="n">
        <v>45962</v>
      </c>
      <c r="B39" s="10" t="s">
        <v>590</v>
      </c>
      <c r="C39" s="10" t="s">
        <v>218</v>
      </c>
      <c r="D39" s="9" t="n">
        <v>45990</v>
      </c>
      <c r="E39" s="10" t="s">
        <v>216</v>
      </c>
      <c r="F39" s="10" t="s">
        <v>15</v>
      </c>
      <c r="G39" s="10" t="s">
        <v>217</v>
      </c>
      <c r="H39" s="10"/>
      <c r="I39" s="11" t="s">
        <v>591</v>
      </c>
      <c r="J39" s="10" t="n">
        <f aca="false">IF(COUNTIFS($E$2:E39,E39,$A$2:A39,A39)=1,1,0)</f>
        <v>1</v>
      </c>
    </row>
    <row r="40" customFormat="false" ht="15" hidden="false" customHeight="false" outlineLevel="0" collapsed="false">
      <c r="A40" s="9" t="n">
        <v>45962</v>
      </c>
      <c r="B40" s="10" t="s">
        <v>590</v>
      </c>
      <c r="C40" s="10" t="s">
        <v>607</v>
      </c>
      <c r="D40" s="9" t="n">
        <v>45997</v>
      </c>
      <c r="E40" s="10" t="s">
        <v>116</v>
      </c>
      <c r="F40" s="10" t="s">
        <v>21</v>
      </c>
      <c r="G40" s="10" t="s">
        <v>117</v>
      </c>
      <c r="H40" s="10"/>
      <c r="I40" s="11" t="s">
        <v>591</v>
      </c>
      <c r="J40" s="10" t="n">
        <f aca="false">IF(COUNTIFS($E$2:E40,E40,$A$2:A40,A40)=1,1,0)</f>
        <v>1</v>
      </c>
    </row>
    <row r="41" customFormat="false" ht="15" hidden="false" customHeight="false" outlineLevel="0" collapsed="false">
      <c r="A41" s="9" t="n">
        <v>45975</v>
      </c>
      <c r="B41" s="10" t="s">
        <v>608</v>
      </c>
      <c r="C41" s="10" t="s">
        <v>576</v>
      </c>
      <c r="D41" s="9" t="n">
        <v>45963</v>
      </c>
      <c r="E41" s="10" t="s">
        <v>20</v>
      </c>
      <c r="F41" s="10" t="s">
        <v>21</v>
      </c>
      <c r="G41" s="10" t="s">
        <v>22</v>
      </c>
      <c r="H41" s="10" t="s">
        <v>24</v>
      </c>
      <c r="I41" s="11" t="s">
        <v>609</v>
      </c>
      <c r="J41" s="10" t="n">
        <f aca="false">IF(COUNTIFS($E$2:E41,E41,$A$2:A41,A41)=1,1,0)</f>
        <v>1</v>
      </c>
    </row>
    <row r="42" customFormat="false" ht="15" hidden="false" customHeight="false" outlineLevel="0" collapsed="false">
      <c r="A42" s="9" t="n">
        <v>45975</v>
      </c>
      <c r="B42" s="10" t="s">
        <v>608</v>
      </c>
      <c r="C42" s="10" t="s">
        <v>597</v>
      </c>
      <c r="D42" s="9" t="n">
        <v>45969</v>
      </c>
      <c r="E42" s="10" t="s">
        <v>165</v>
      </c>
      <c r="F42" s="10" t="s">
        <v>166</v>
      </c>
      <c r="G42" s="10" t="s">
        <v>167</v>
      </c>
      <c r="H42" s="10"/>
      <c r="I42" s="11" t="s">
        <v>609</v>
      </c>
      <c r="J42" s="10" t="n">
        <f aca="false">IF(COUNTIFS($E$2:E42,E42,$A$2:A42,A42)=1,1,0)</f>
        <v>1</v>
      </c>
    </row>
    <row r="43" customFormat="false" ht="15" hidden="false" customHeight="false" outlineLevel="0" collapsed="false">
      <c r="A43" s="9" t="n">
        <v>45975</v>
      </c>
      <c r="B43" s="10" t="s">
        <v>608</v>
      </c>
      <c r="C43" s="10" t="s">
        <v>610</v>
      </c>
      <c r="D43" s="9" t="n">
        <v>45975</v>
      </c>
      <c r="E43" s="10" t="s">
        <v>81</v>
      </c>
      <c r="F43" s="10" t="s">
        <v>15</v>
      </c>
      <c r="G43" s="10" t="s">
        <v>82</v>
      </c>
      <c r="H43" s="10"/>
      <c r="I43" s="11" t="s">
        <v>609</v>
      </c>
      <c r="J43" s="10" t="n">
        <f aca="false">IF(COUNTIFS($E$2:E43,E43,$A$2:A43,A43)=1,1,0)</f>
        <v>1</v>
      </c>
    </row>
    <row r="44" customFormat="false" ht="15" hidden="false" customHeight="false" outlineLevel="0" collapsed="false">
      <c r="A44" s="9" t="n">
        <v>45975</v>
      </c>
      <c r="B44" s="10" t="s">
        <v>608</v>
      </c>
      <c r="C44" s="10" t="s">
        <v>599</v>
      </c>
      <c r="D44" s="9" t="n">
        <v>45976</v>
      </c>
      <c r="E44" s="10" t="s">
        <v>14</v>
      </c>
      <c r="F44" s="10" t="s">
        <v>15</v>
      </c>
      <c r="G44" s="10" t="s">
        <v>16</v>
      </c>
      <c r="H44" s="10" t="s">
        <v>600</v>
      </c>
      <c r="I44" s="11" t="s">
        <v>609</v>
      </c>
      <c r="J44" s="10" t="n">
        <f aca="false">IF(COUNTIFS($E$2:E44,E44,$A$2:A44,A44)=1,1,0)</f>
        <v>1</v>
      </c>
    </row>
    <row r="45" customFormat="false" ht="15" hidden="false" customHeight="false" outlineLevel="0" collapsed="false">
      <c r="A45" s="9" t="n">
        <v>45975</v>
      </c>
      <c r="B45" s="10" t="s">
        <v>608</v>
      </c>
      <c r="C45" s="10" t="s">
        <v>601</v>
      </c>
      <c r="D45" s="9" t="n">
        <v>45979</v>
      </c>
      <c r="E45" s="10" t="s">
        <v>48</v>
      </c>
      <c r="F45" s="10" t="s">
        <v>33</v>
      </c>
      <c r="G45" s="10" t="s">
        <v>49</v>
      </c>
      <c r="H45" s="10" t="s">
        <v>51</v>
      </c>
      <c r="I45" s="11" t="s">
        <v>609</v>
      </c>
      <c r="J45" s="10" t="n">
        <f aca="false">IF(COUNTIFS($E$2:E45,E45,$A$2:A45,A45)=1,1,0)</f>
        <v>1</v>
      </c>
    </row>
    <row r="46" customFormat="false" ht="15" hidden="false" customHeight="false" outlineLevel="0" collapsed="false">
      <c r="A46" s="9" t="n">
        <v>45975</v>
      </c>
      <c r="B46" s="10" t="s">
        <v>608</v>
      </c>
      <c r="C46" s="10" t="s">
        <v>602</v>
      </c>
      <c r="D46" s="9" t="n">
        <v>45980</v>
      </c>
      <c r="E46" s="10" t="s">
        <v>20</v>
      </c>
      <c r="F46" s="10" t="s">
        <v>21</v>
      </c>
      <c r="G46" s="10" t="s">
        <v>22</v>
      </c>
      <c r="H46" s="10" t="s">
        <v>24</v>
      </c>
      <c r="I46" s="11" t="s">
        <v>609</v>
      </c>
      <c r="J46" s="10" t="n">
        <f aca="false">IF(COUNTIFS($E$2:E46,E46,$A$2:A46,A46)=1,1,0)</f>
        <v>0</v>
      </c>
    </row>
    <row r="47" customFormat="false" ht="15" hidden="false" customHeight="false" outlineLevel="0" collapsed="false">
      <c r="A47" s="9" t="n">
        <v>45975</v>
      </c>
      <c r="B47" s="10" t="s">
        <v>608</v>
      </c>
      <c r="C47" s="10" t="s">
        <v>603</v>
      </c>
      <c r="D47" s="9" t="n">
        <v>45981</v>
      </c>
      <c r="E47" s="10" t="s">
        <v>26</v>
      </c>
      <c r="F47" s="10" t="s">
        <v>27</v>
      </c>
      <c r="G47" s="10" t="s">
        <v>28</v>
      </c>
      <c r="H47" s="10" t="s">
        <v>30</v>
      </c>
      <c r="I47" s="11" t="s">
        <v>609</v>
      </c>
      <c r="J47" s="10" t="n">
        <f aca="false">IF(COUNTIFS($E$2:E47,E47,$A$2:A47,A47)=1,1,0)</f>
        <v>1</v>
      </c>
    </row>
    <row r="48" customFormat="false" ht="15" hidden="false" customHeight="false" outlineLevel="0" collapsed="false">
      <c r="A48" s="9" t="n">
        <v>45975</v>
      </c>
      <c r="B48" s="10" t="s">
        <v>608</v>
      </c>
      <c r="C48" s="10" t="s">
        <v>604</v>
      </c>
      <c r="D48" s="9" t="n">
        <v>45981</v>
      </c>
      <c r="E48" s="10" t="s">
        <v>20</v>
      </c>
      <c r="F48" s="10" t="s">
        <v>21</v>
      </c>
      <c r="G48" s="10" t="s">
        <v>22</v>
      </c>
      <c r="H48" s="10" t="s">
        <v>24</v>
      </c>
      <c r="I48" s="11" t="s">
        <v>609</v>
      </c>
      <c r="J48" s="10" t="n">
        <f aca="false">IF(COUNTIFS($E$2:E48,E48,$A$2:A48,A48)=1,1,0)</f>
        <v>0</v>
      </c>
    </row>
    <row r="49" customFormat="false" ht="15" hidden="false" customHeight="false" outlineLevel="0" collapsed="false">
      <c r="A49" s="9" t="n">
        <v>45975</v>
      </c>
      <c r="B49" s="10" t="s">
        <v>608</v>
      </c>
      <c r="C49" s="10" t="s">
        <v>432</v>
      </c>
      <c r="D49" s="9" t="n">
        <v>45982</v>
      </c>
      <c r="E49" s="10" t="s">
        <v>431</v>
      </c>
      <c r="F49" s="10" t="s">
        <v>177</v>
      </c>
      <c r="G49" s="10" t="s">
        <v>63</v>
      </c>
      <c r="H49" s="10" t="s">
        <v>242</v>
      </c>
      <c r="I49" s="11" t="s">
        <v>609</v>
      </c>
      <c r="J49" s="10" t="n">
        <f aca="false">IF(COUNTIFS($E$2:E49,E49,$A$2:A49,A49)=1,1,0)</f>
        <v>1</v>
      </c>
    </row>
    <row r="50" customFormat="false" ht="15" hidden="false" customHeight="false" outlineLevel="0" collapsed="false">
      <c r="A50" s="9" t="n">
        <v>45975</v>
      </c>
      <c r="B50" s="10" t="s">
        <v>608</v>
      </c>
      <c r="C50" s="10" t="s">
        <v>611</v>
      </c>
      <c r="D50" s="9" t="n">
        <v>45983</v>
      </c>
      <c r="E50" s="10" t="s">
        <v>58</v>
      </c>
      <c r="F50" s="10" t="s">
        <v>21</v>
      </c>
      <c r="G50" s="10" t="s">
        <v>39</v>
      </c>
      <c r="H50" s="10" t="s">
        <v>612</v>
      </c>
      <c r="I50" s="11" t="s">
        <v>609</v>
      </c>
      <c r="J50" s="10" t="n">
        <f aca="false">IF(COUNTIFS($E$2:E50,E50,$A$2:A50,A50)=1,1,0)</f>
        <v>1</v>
      </c>
    </row>
    <row r="51" customFormat="false" ht="15" hidden="false" customHeight="false" outlineLevel="0" collapsed="false">
      <c r="A51" s="9" t="n">
        <v>45975</v>
      </c>
      <c r="B51" s="10" t="s">
        <v>608</v>
      </c>
      <c r="C51" s="10" t="s">
        <v>606</v>
      </c>
      <c r="D51" s="9" t="n">
        <v>45989</v>
      </c>
      <c r="E51" s="10" t="s">
        <v>14</v>
      </c>
      <c r="F51" s="10" t="s">
        <v>15</v>
      </c>
      <c r="G51" s="10" t="s">
        <v>16</v>
      </c>
      <c r="H51" s="10"/>
      <c r="I51" s="11" t="s">
        <v>609</v>
      </c>
      <c r="J51" s="10" t="n">
        <f aca="false">IF(COUNTIFS($E$2:E51,E51,$A$2:A51,A51)=1,1,0)</f>
        <v>0</v>
      </c>
    </row>
    <row r="52" customFormat="false" ht="15" hidden="false" customHeight="false" outlineLevel="0" collapsed="false">
      <c r="A52" s="9" t="n">
        <v>45975</v>
      </c>
      <c r="B52" s="10" t="s">
        <v>608</v>
      </c>
      <c r="C52" s="10" t="s">
        <v>613</v>
      </c>
      <c r="D52" s="9" t="n">
        <v>45991</v>
      </c>
      <c r="E52" s="10" t="s">
        <v>62</v>
      </c>
      <c r="F52" s="10" t="s">
        <v>15</v>
      </c>
      <c r="G52" s="10" t="s">
        <v>63</v>
      </c>
      <c r="H52" s="10" t="s">
        <v>41</v>
      </c>
      <c r="I52" s="11" t="s">
        <v>609</v>
      </c>
      <c r="J52" s="10" t="n">
        <f aca="false">IF(COUNTIFS($E$2:E52,E52,$A$2:A52,A52)=1,1,0)</f>
        <v>1</v>
      </c>
    </row>
    <row r="53" customFormat="false" ht="15" hidden="false" customHeight="false" outlineLevel="0" collapsed="false">
      <c r="A53" s="9" t="n">
        <v>45992</v>
      </c>
      <c r="B53" s="10" t="s">
        <v>614</v>
      </c>
      <c r="C53" s="10" t="s">
        <v>526</v>
      </c>
      <c r="D53" s="9" t="n">
        <v>45992</v>
      </c>
      <c r="E53" s="10" t="s">
        <v>524</v>
      </c>
      <c r="F53" s="10" t="s">
        <v>33</v>
      </c>
      <c r="G53" s="10" t="s">
        <v>525</v>
      </c>
      <c r="H53" s="10" t="s">
        <v>215</v>
      </c>
      <c r="I53" s="11" t="s">
        <v>615</v>
      </c>
      <c r="J53" s="10" t="n">
        <f aca="false">IF(COUNTIFS($E$2:E53,E53,$A$2:A53,A53)=1,1,0)</f>
        <v>1</v>
      </c>
    </row>
    <row r="54" customFormat="false" ht="15" hidden="false" customHeight="false" outlineLevel="0" collapsed="false">
      <c r="A54" s="9" t="n">
        <v>45992</v>
      </c>
      <c r="B54" s="10" t="s">
        <v>614</v>
      </c>
      <c r="C54" s="10" t="s">
        <v>472</v>
      </c>
      <c r="D54" s="9" t="n">
        <v>45993</v>
      </c>
      <c r="E54" s="10" t="s">
        <v>471</v>
      </c>
      <c r="F54" s="10" t="s">
        <v>107</v>
      </c>
      <c r="G54" s="10" t="s">
        <v>16</v>
      </c>
      <c r="H54" s="10" t="s">
        <v>473</v>
      </c>
      <c r="I54" s="11" t="s">
        <v>615</v>
      </c>
      <c r="J54" s="10" t="n">
        <f aca="false">IF(COUNTIFS($E$2:E54,E54,$A$2:A54,A54)=1,1,0)</f>
        <v>1</v>
      </c>
    </row>
    <row r="55" customFormat="false" ht="15" hidden="false" customHeight="false" outlineLevel="0" collapsed="false">
      <c r="A55" s="9" t="n">
        <v>45992</v>
      </c>
      <c r="B55" s="10" t="s">
        <v>614</v>
      </c>
      <c r="C55" s="10" t="s">
        <v>576</v>
      </c>
      <c r="D55" s="9" t="n">
        <v>45994</v>
      </c>
      <c r="E55" s="10" t="s">
        <v>20</v>
      </c>
      <c r="F55" s="10" t="s">
        <v>21</v>
      </c>
      <c r="G55" s="10" t="s">
        <v>22</v>
      </c>
      <c r="H55" s="10" t="s">
        <v>24</v>
      </c>
      <c r="I55" s="11" t="s">
        <v>615</v>
      </c>
      <c r="J55" s="10" t="n">
        <f aca="false">IF(COUNTIFS($E$2:E55,E55,$A$2:A55,A55)=1,1,0)</f>
        <v>1</v>
      </c>
    </row>
    <row r="56" customFormat="false" ht="15" hidden="false" customHeight="false" outlineLevel="0" collapsed="false">
      <c r="A56" s="9" t="n">
        <v>45992</v>
      </c>
      <c r="B56" s="10" t="s">
        <v>614</v>
      </c>
      <c r="C56" s="10" t="s">
        <v>616</v>
      </c>
      <c r="D56" s="9" t="n">
        <v>45995</v>
      </c>
      <c r="E56" s="10" t="s">
        <v>38</v>
      </c>
      <c r="F56" s="10" t="s">
        <v>15</v>
      </c>
      <c r="G56" s="10" t="s">
        <v>39</v>
      </c>
      <c r="H56" s="10" t="s">
        <v>41</v>
      </c>
      <c r="I56" s="11" t="s">
        <v>615</v>
      </c>
      <c r="J56" s="10" t="n">
        <f aca="false">IF(COUNTIFS($E$2:E56,E56,$A$2:A56,A56)=1,1,0)</f>
        <v>1</v>
      </c>
    </row>
    <row r="57" customFormat="false" ht="15" hidden="false" customHeight="false" outlineLevel="0" collapsed="false">
      <c r="A57" s="9" t="n">
        <v>45992</v>
      </c>
      <c r="B57" s="10" t="s">
        <v>614</v>
      </c>
      <c r="C57" s="10" t="s">
        <v>611</v>
      </c>
      <c r="D57" s="9" t="n">
        <v>45996</v>
      </c>
      <c r="E57" s="10" t="s">
        <v>58</v>
      </c>
      <c r="F57" s="10" t="s">
        <v>21</v>
      </c>
      <c r="G57" s="10" t="s">
        <v>39</v>
      </c>
      <c r="H57" s="10" t="s">
        <v>612</v>
      </c>
      <c r="I57" s="11" t="s">
        <v>615</v>
      </c>
      <c r="J57" s="10" t="n">
        <f aca="false">IF(COUNTIFS($E$2:E57,E57,$A$2:A57,A57)=1,1,0)</f>
        <v>1</v>
      </c>
    </row>
    <row r="58" customFormat="false" ht="15" hidden="false" customHeight="false" outlineLevel="0" collapsed="false">
      <c r="A58" s="9" t="n">
        <v>45992</v>
      </c>
      <c r="B58" s="10" t="s">
        <v>614</v>
      </c>
      <c r="C58" s="10" t="s">
        <v>413</v>
      </c>
      <c r="D58" s="9" t="n">
        <v>45997</v>
      </c>
      <c r="E58" s="10" t="s">
        <v>412</v>
      </c>
      <c r="F58" s="10" t="s">
        <v>15</v>
      </c>
      <c r="G58" s="10" t="s">
        <v>28</v>
      </c>
      <c r="H58" s="10" t="s">
        <v>215</v>
      </c>
      <c r="I58" s="11" t="s">
        <v>615</v>
      </c>
      <c r="J58" s="10" t="n">
        <f aca="false">IF(COUNTIFS($E$2:E58,E58,$A$2:A58,A58)=1,1,0)</f>
        <v>1</v>
      </c>
    </row>
    <row r="59" customFormat="false" ht="15" hidden="false" customHeight="false" outlineLevel="0" collapsed="false">
      <c r="A59" s="9" t="n">
        <v>45992</v>
      </c>
      <c r="B59" s="10" t="s">
        <v>614</v>
      </c>
      <c r="C59" s="10" t="s">
        <v>617</v>
      </c>
      <c r="D59" s="9" t="n">
        <v>45997</v>
      </c>
      <c r="E59" s="10" t="s">
        <v>116</v>
      </c>
      <c r="F59" s="10" t="s">
        <v>21</v>
      </c>
      <c r="G59" s="10" t="s">
        <v>117</v>
      </c>
      <c r="H59" s="10" t="s">
        <v>618</v>
      </c>
      <c r="I59" s="11" t="s">
        <v>615</v>
      </c>
      <c r="J59" s="10" t="n">
        <f aca="false">IF(COUNTIFS($E$2:E59,E59,$A$2:A59,A59)=1,1,0)</f>
        <v>1</v>
      </c>
    </row>
    <row r="60" customFormat="false" ht="15" hidden="false" customHeight="false" outlineLevel="0" collapsed="false">
      <c r="A60" s="9" t="n">
        <v>45992</v>
      </c>
      <c r="B60" s="10" t="s">
        <v>614</v>
      </c>
      <c r="C60" s="10" t="s">
        <v>619</v>
      </c>
      <c r="D60" s="9" t="n">
        <v>45998</v>
      </c>
      <c r="E60" s="10" t="s">
        <v>48</v>
      </c>
      <c r="F60" s="10" t="s">
        <v>33</v>
      </c>
      <c r="G60" s="10" t="s">
        <v>49</v>
      </c>
      <c r="H60" s="10" t="s">
        <v>51</v>
      </c>
      <c r="I60" s="11" t="s">
        <v>615</v>
      </c>
      <c r="J60" s="10" t="n">
        <f aca="false">IF(COUNTIFS($E$2:E60,E60,$A$2:A60,A60)=1,1,0)</f>
        <v>1</v>
      </c>
    </row>
    <row r="61" customFormat="false" ht="15" hidden="false" customHeight="false" outlineLevel="0" collapsed="false">
      <c r="A61" s="9" t="n">
        <v>45992</v>
      </c>
      <c r="B61" s="10" t="s">
        <v>614</v>
      </c>
      <c r="C61" s="10" t="s">
        <v>458</v>
      </c>
      <c r="D61" s="9" t="n">
        <v>45999</v>
      </c>
      <c r="E61" s="10" t="s">
        <v>457</v>
      </c>
      <c r="F61" s="10" t="s">
        <v>177</v>
      </c>
      <c r="G61" s="10" t="s">
        <v>155</v>
      </c>
      <c r="H61" s="10" t="s">
        <v>459</v>
      </c>
      <c r="I61" s="11" t="s">
        <v>615</v>
      </c>
      <c r="J61" s="10" t="n">
        <f aca="false">IF(COUNTIFS($E$2:E61,E61,$A$2:A61,A61)=1,1,0)</f>
        <v>1</v>
      </c>
    </row>
    <row r="62" customFormat="false" ht="15" hidden="false" customHeight="false" outlineLevel="0" collapsed="false">
      <c r="A62" s="9" t="n">
        <v>45992</v>
      </c>
      <c r="B62" s="10" t="s">
        <v>614</v>
      </c>
      <c r="C62" s="10" t="s">
        <v>395</v>
      </c>
      <c r="D62" s="9" t="n">
        <v>46000</v>
      </c>
      <c r="E62" s="10" t="s">
        <v>393</v>
      </c>
      <c r="F62" s="10" t="s">
        <v>166</v>
      </c>
      <c r="G62" s="10" t="s">
        <v>394</v>
      </c>
      <c r="H62" s="10" t="s">
        <v>396</v>
      </c>
      <c r="I62" s="11" t="s">
        <v>615</v>
      </c>
      <c r="J62" s="10" t="n">
        <f aca="false">IF(COUNTIFS($E$2:E62,E62,$A$2:A62,A62)=1,1,0)</f>
        <v>1</v>
      </c>
    </row>
    <row r="63" customFormat="false" ht="15" hidden="false" customHeight="false" outlineLevel="0" collapsed="false">
      <c r="A63" s="9" t="n">
        <v>45992</v>
      </c>
      <c r="B63" s="10" t="s">
        <v>614</v>
      </c>
      <c r="C63" s="10" t="s">
        <v>620</v>
      </c>
      <c r="D63" s="9" t="n">
        <v>46003</v>
      </c>
      <c r="E63" s="10" t="s">
        <v>32</v>
      </c>
      <c r="F63" s="10" t="s">
        <v>33</v>
      </c>
      <c r="G63" s="10" t="s">
        <v>34</v>
      </c>
      <c r="H63" s="10" t="s">
        <v>36</v>
      </c>
      <c r="I63" s="11" t="s">
        <v>615</v>
      </c>
      <c r="J63" s="10" t="n">
        <f aca="false">IF(COUNTIFS($E$2:E63,E63,$A$2:A63,A63)=1,1,0)</f>
        <v>1</v>
      </c>
    </row>
    <row r="64" customFormat="false" ht="15" hidden="false" customHeight="false" outlineLevel="0" collapsed="false">
      <c r="A64" s="9" t="n">
        <v>45992</v>
      </c>
      <c r="B64" s="10" t="s">
        <v>614</v>
      </c>
      <c r="C64" s="10" t="s">
        <v>621</v>
      </c>
      <c r="D64" s="9" t="n">
        <v>46003</v>
      </c>
      <c r="E64" s="10" t="s">
        <v>255</v>
      </c>
      <c r="F64" s="10" t="s">
        <v>33</v>
      </c>
      <c r="G64" s="10" t="s">
        <v>256</v>
      </c>
      <c r="H64" s="10" t="s">
        <v>622</v>
      </c>
      <c r="I64" s="11" t="s">
        <v>615</v>
      </c>
      <c r="J64" s="10" t="n">
        <f aca="false">IF(COUNTIFS($E$2:E64,E64,$A$2:A64,A64)=1,1,0)</f>
        <v>1</v>
      </c>
    </row>
    <row r="65" customFormat="false" ht="15" hidden="false" customHeight="false" outlineLevel="0" collapsed="false">
      <c r="A65" s="9" t="n">
        <v>45992</v>
      </c>
      <c r="B65" s="10" t="s">
        <v>614</v>
      </c>
      <c r="C65" s="10" t="s">
        <v>168</v>
      </c>
      <c r="D65" s="9" t="n">
        <v>46004</v>
      </c>
      <c r="E65" s="10" t="s">
        <v>165</v>
      </c>
      <c r="F65" s="10" t="s">
        <v>166</v>
      </c>
      <c r="G65" s="10" t="s">
        <v>167</v>
      </c>
      <c r="H65" s="10"/>
      <c r="I65" s="11" t="s">
        <v>615</v>
      </c>
      <c r="J65" s="10" t="n">
        <f aca="false">IF(COUNTIFS($E$2:E65,E65,$A$2:A65,A65)=1,1,0)</f>
        <v>1</v>
      </c>
    </row>
    <row r="66" customFormat="false" ht="15" hidden="false" customHeight="false" outlineLevel="0" collapsed="false">
      <c r="A66" s="9" t="n">
        <v>45992</v>
      </c>
      <c r="B66" s="10" t="s">
        <v>614</v>
      </c>
      <c r="C66" s="10" t="s">
        <v>623</v>
      </c>
      <c r="D66" s="9" t="n">
        <v>46005</v>
      </c>
      <c r="E66" s="10" t="s">
        <v>322</v>
      </c>
      <c r="F66" s="10" t="s">
        <v>21</v>
      </c>
      <c r="G66" s="10" t="s">
        <v>289</v>
      </c>
      <c r="H66" s="10" t="s">
        <v>324</v>
      </c>
      <c r="I66" s="11" t="s">
        <v>615</v>
      </c>
      <c r="J66" s="10" t="n">
        <f aca="false">IF(COUNTIFS($E$2:E66,E66,$A$2:A66,A66)=1,1,0)</f>
        <v>1</v>
      </c>
    </row>
    <row r="67" customFormat="false" ht="15" hidden="false" customHeight="false" outlineLevel="0" collapsed="false">
      <c r="A67" s="9" t="n">
        <v>45992</v>
      </c>
      <c r="B67" s="10" t="s">
        <v>614</v>
      </c>
      <c r="C67" s="10" t="s">
        <v>624</v>
      </c>
      <c r="D67" s="9" t="n">
        <v>46005</v>
      </c>
      <c r="E67" s="10" t="s">
        <v>38</v>
      </c>
      <c r="F67" s="10" t="s">
        <v>15</v>
      </c>
      <c r="G67" s="10" t="s">
        <v>39</v>
      </c>
      <c r="H67" s="10" t="s">
        <v>41</v>
      </c>
      <c r="I67" s="11" t="s">
        <v>615</v>
      </c>
      <c r="J67" s="10" t="n">
        <f aca="false">IF(COUNTIFS($E$2:E67,E67,$A$2:A67,A67)=1,1,0)</f>
        <v>0</v>
      </c>
    </row>
    <row r="68" customFormat="false" ht="15" hidden="false" customHeight="false" outlineLevel="0" collapsed="false">
      <c r="A68" s="9" t="n">
        <v>45992</v>
      </c>
      <c r="B68" s="10" t="s">
        <v>614</v>
      </c>
      <c r="C68" s="10" t="s">
        <v>625</v>
      </c>
      <c r="D68" s="9" t="n">
        <v>46005</v>
      </c>
      <c r="E68" s="10" t="s">
        <v>106</v>
      </c>
      <c r="F68" s="10" t="s">
        <v>107</v>
      </c>
      <c r="G68" s="10" t="s">
        <v>108</v>
      </c>
      <c r="H68" s="10" t="s">
        <v>446</v>
      </c>
      <c r="I68" s="11" t="s">
        <v>615</v>
      </c>
      <c r="J68" s="10" t="n">
        <f aca="false">IF(COUNTIFS($E$2:E68,E68,$A$2:A68,A68)=1,1,0)</f>
        <v>1</v>
      </c>
    </row>
    <row r="69" customFormat="false" ht="15" hidden="false" customHeight="false" outlineLevel="0" collapsed="false">
      <c r="A69" s="9" t="n">
        <v>45992</v>
      </c>
      <c r="B69" s="10" t="s">
        <v>614</v>
      </c>
      <c r="C69" s="10" t="s">
        <v>532</v>
      </c>
      <c r="D69" s="9" t="n">
        <v>46005</v>
      </c>
      <c r="E69" s="10" t="s">
        <v>530</v>
      </c>
      <c r="F69" s="10" t="s">
        <v>33</v>
      </c>
      <c r="G69" s="10" t="s">
        <v>531</v>
      </c>
      <c r="H69" s="10" t="s">
        <v>449</v>
      </c>
      <c r="I69" s="11" t="s">
        <v>615</v>
      </c>
      <c r="J69" s="10" t="n">
        <f aca="false">IF(COUNTIFS($E$2:E69,E69,$A$2:A69,A69)=1,1,0)</f>
        <v>1</v>
      </c>
    </row>
    <row r="70" customFormat="false" ht="15" hidden="false" customHeight="false" outlineLevel="0" collapsed="false">
      <c r="A70" s="9" t="n">
        <v>45992</v>
      </c>
      <c r="B70" s="10" t="s">
        <v>614</v>
      </c>
      <c r="C70" s="10" t="s">
        <v>626</v>
      </c>
      <c r="D70" s="9" t="n">
        <v>46009</v>
      </c>
      <c r="E70" s="10" t="s">
        <v>26</v>
      </c>
      <c r="F70" s="10" t="s">
        <v>27</v>
      </c>
      <c r="G70" s="10" t="s">
        <v>28</v>
      </c>
      <c r="H70" s="10" t="s">
        <v>30</v>
      </c>
      <c r="I70" s="11" t="s">
        <v>615</v>
      </c>
      <c r="J70" s="10" t="n">
        <f aca="false">IF(COUNTIFS($E$2:E70,E70,$A$2:A70,A70)=1,1,0)</f>
        <v>1</v>
      </c>
    </row>
    <row r="71" customFormat="false" ht="15" hidden="false" customHeight="false" outlineLevel="0" collapsed="false">
      <c r="A71" s="9" t="n">
        <v>45992</v>
      </c>
      <c r="B71" s="10" t="s">
        <v>614</v>
      </c>
      <c r="C71" s="10" t="s">
        <v>218</v>
      </c>
      <c r="D71" s="9" t="n">
        <v>46018</v>
      </c>
      <c r="E71" s="10" t="s">
        <v>216</v>
      </c>
      <c r="F71" s="10" t="s">
        <v>15</v>
      </c>
      <c r="G71" s="10" t="s">
        <v>217</v>
      </c>
      <c r="H71" s="10"/>
      <c r="I71" s="11" t="s">
        <v>615</v>
      </c>
      <c r="J71" s="10" t="n">
        <f aca="false">IF(COUNTIFS($E$2:E71,E71,$A$2:A71,A71)=1,1,0)</f>
        <v>1</v>
      </c>
    </row>
    <row r="72" customFormat="false" ht="15" hidden="false" customHeight="false" outlineLevel="0" collapsed="false">
      <c r="A72" s="9" t="n">
        <v>45992</v>
      </c>
      <c r="B72" s="10" t="s">
        <v>614</v>
      </c>
      <c r="C72" s="10" t="s">
        <v>353</v>
      </c>
      <c r="D72" s="9" t="n">
        <v>46020</v>
      </c>
      <c r="E72" s="10" t="s">
        <v>32</v>
      </c>
      <c r="F72" s="10" t="s">
        <v>33</v>
      </c>
      <c r="G72" s="10" t="s">
        <v>34</v>
      </c>
      <c r="H72" s="10" t="s">
        <v>354</v>
      </c>
      <c r="I72" s="11" t="s">
        <v>615</v>
      </c>
      <c r="J72" s="10" t="n">
        <f aca="false">IF(COUNTIFS($E$2:E72,E72,$A$2:A72,A72)=1,1,0)</f>
        <v>0</v>
      </c>
    </row>
    <row r="73" customFormat="false" ht="15" hidden="false" customHeight="false" outlineLevel="0" collapsed="false">
      <c r="A73" s="9" t="n">
        <v>46004</v>
      </c>
      <c r="B73" s="10" t="s">
        <v>627</v>
      </c>
      <c r="C73" s="10" t="s">
        <v>576</v>
      </c>
      <c r="D73" s="9" t="n">
        <v>45994</v>
      </c>
      <c r="E73" s="10" t="s">
        <v>20</v>
      </c>
      <c r="F73" s="10" t="s">
        <v>21</v>
      </c>
      <c r="G73" s="10" t="s">
        <v>22</v>
      </c>
      <c r="H73" s="10" t="s">
        <v>24</v>
      </c>
      <c r="I73" s="11" t="s">
        <v>628</v>
      </c>
      <c r="J73" s="10" t="n">
        <f aca="false">IF(COUNTIFS($E$2:E73,E73,$A$2:A73,A73)=1,1,0)</f>
        <v>1</v>
      </c>
    </row>
    <row r="74" customFormat="false" ht="15" hidden="false" customHeight="false" outlineLevel="0" collapsed="false">
      <c r="A74" s="9" t="n">
        <v>46004</v>
      </c>
      <c r="B74" s="10" t="s">
        <v>627</v>
      </c>
      <c r="C74" s="10" t="s">
        <v>168</v>
      </c>
      <c r="D74" s="9" t="n">
        <v>46004</v>
      </c>
      <c r="E74" s="10" t="s">
        <v>165</v>
      </c>
      <c r="F74" s="10" t="s">
        <v>166</v>
      </c>
      <c r="G74" s="10" t="s">
        <v>167</v>
      </c>
      <c r="H74" s="10"/>
      <c r="I74" s="11" t="s">
        <v>628</v>
      </c>
      <c r="J74" s="10" t="n">
        <f aca="false">IF(COUNTIFS($E$2:E74,E74,$A$2:A74,A74)=1,1,0)</f>
        <v>1</v>
      </c>
    </row>
    <row r="75" customFormat="false" ht="15" hidden="false" customHeight="false" outlineLevel="0" collapsed="false">
      <c r="A75" s="9" t="n">
        <v>46004</v>
      </c>
      <c r="B75" s="10" t="s">
        <v>627</v>
      </c>
      <c r="C75" s="10" t="s">
        <v>448</v>
      </c>
      <c r="D75" s="9" t="n">
        <v>46005</v>
      </c>
      <c r="E75" s="10" t="s">
        <v>447</v>
      </c>
      <c r="F75" s="10" t="s">
        <v>107</v>
      </c>
      <c r="G75" s="10" t="s">
        <v>155</v>
      </c>
      <c r="H75" s="10" t="s">
        <v>449</v>
      </c>
      <c r="I75" s="11" t="s">
        <v>628</v>
      </c>
      <c r="J75" s="10" t="n">
        <f aca="false">IF(COUNTIFS($E$2:E75,E75,$A$2:A75,A75)=1,1,0)</f>
        <v>1</v>
      </c>
    </row>
    <row r="76" customFormat="false" ht="15" hidden="false" customHeight="false" outlineLevel="0" collapsed="false">
      <c r="A76" s="9" t="n">
        <v>46004</v>
      </c>
      <c r="B76" s="10" t="s">
        <v>627</v>
      </c>
      <c r="C76" s="10" t="s">
        <v>323</v>
      </c>
      <c r="D76" s="9" t="n">
        <v>46005</v>
      </c>
      <c r="E76" s="10" t="s">
        <v>322</v>
      </c>
      <c r="F76" s="10" t="s">
        <v>21</v>
      </c>
      <c r="G76" s="10" t="s">
        <v>289</v>
      </c>
      <c r="H76" s="10" t="s">
        <v>324</v>
      </c>
      <c r="I76" s="11" t="s">
        <v>628</v>
      </c>
      <c r="J76" s="10" t="n">
        <f aca="false">IF(COUNTIFS($E$2:E76,E76,$A$2:A76,A76)=1,1,0)</f>
        <v>1</v>
      </c>
    </row>
    <row r="77" customFormat="false" ht="15" hidden="false" customHeight="false" outlineLevel="0" collapsed="false">
      <c r="A77" s="9" t="n">
        <v>46004</v>
      </c>
      <c r="B77" s="10" t="s">
        <v>627</v>
      </c>
      <c r="C77" s="10" t="s">
        <v>624</v>
      </c>
      <c r="D77" s="9" t="n">
        <v>46005</v>
      </c>
      <c r="E77" s="10" t="s">
        <v>38</v>
      </c>
      <c r="F77" s="10" t="s">
        <v>15</v>
      </c>
      <c r="G77" s="10" t="s">
        <v>39</v>
      </c>
      <c r="H77" s="10" t="s">
        <v>41</v>
      </c>
      <c r="I77" s="11" t="s">
        <v>628</v>
      </c>
      <c r="J77" s="10" t="n">
        <f aca="false">IF(COUNTIFS($E$2:E77,E77,$A$2:A77,A77)=1,1,0)</f>
        <v>1</v>
      </c>
    </row>
    <row r="78" customFormat="false" ht="15" hidden="false" customHeight="false" outlineLevel="0" collapsed="false">
      <c r="A78" s="9" t="n">
        <v>46004</v>
      </c>
      <c r="B78" s="10" t="s">
        <v>627</v>
      </c>
      <c r="C78" s="10" t="s">
        <v>625</v>
      </c>
      <c r="D78" s="9" t="n">
        <v>46005</v>
      </c>
      <c r="E78" s="10" t="s">
        <v>106</v>
      </c>
      <c r="F78" s="10" t="s">
        <v>107</v>
      </c>
      <c r="G78" s="10" t="s">
        <v>108</v>
      </c>
      <c r="H78" s="10" t="s">
        <v>446</v>
      </c>
      <c r="I78" s="11" t="s">
        <v>628</v>
      </c>
      <c r="J78" s="10" t="n">
        <f aca="false">IF(COUNTIFS($E$2:E78,E78,$A$2:A78,A78)=1,1,0)</f>
        <v>1</v>
      </c>
    </row>
    <row r="79" customFormat="false" ht="15" hidden="false" customHeight="false" outlineLevel="0" collapsed="false">
      <c r="A79" s="9" t="n">
        <v>46004</v>
      </c>
      <c r="B79" s="10" t="s">
        <v>627</v>
      </c>
      <c r="C79" s="10" t="s">
        <v>535</v>
      </c>
      <c r="D79" s="9" t="n">
        <v>46008</v>
      </c>
      <c r="E79" s="10" t="s">
        <v>533</v>
      </c>
      <c r="F79" s="10" t="s">
        <v>33</v>
      </c>
      <c r="G79" s="10" t="s">
        <v>534</v>
      </c>
      <c r="H79" s="10" t="s">
        <v>536</v>
      </c>
      <c r="I79" s="11" t="s">
        <v>628</v>
      </c>
      <c r="J79" s="10" t="n">
        <f aca="false">IF(COUNTIFS($E$2:E79,E79,$A$2:A79,A79)=1,1,0)</f>
        <v>1</v>
      </c>
    </row>
    <row r="80" customFormat="false" ht="15" hidden="false" customHeight="false" outlineLevel="0" collapsed="false">
      <c r="A80" s="9" t="n">
        <v>46004</v>
      </c>
      <c r="B80" s="10" t="s">
        <v>627</v>
      </c>
      <c r="C80" s="10" t="s">
        <v>626</v>
      </c>
      <c r="D80" s="9" t="n">
        <v>46009</v>
      </c>
      <c r="E80" s="10" t="s">
        <v>26</v>
      </c>
      <c r="F80" s="10" t="s">
        <v>27</v>
      </c>
      <c r="G80" s="10" t="s">
        <v>28</v>
      </c>
      <c r="H80" s="10" t="s">
        <v>30</v>
      </c>
      <c r="I80" s="11" t="s">
        <v>628</v>
      </c>
      <c r="J80" s="10" t="n">
        <f aca="false">IF(COUNTIFS($E$2:E80,E80,$A$2:A80,A80)=1,1,0)</f>
        <v>1</v>
      </c>
    </row>
    <row r="81" customFormat="false" ht="15" hidden="false" customHeight="false" outlineLevel="0" collapsed="false">
      <c r="A81" s="9" t="n">
        <v>46004</v>
      </c>
      <c r="B81" s="10" t="s">
        <v>627</v>
      </c>
      <c r="C81" s="10" t="s">
        <v>629</v>
      </c>
      <c r="D81" s="9" t="n">
        <v>46025</v>
      </c>
      <c r="E81" s="10" t="s">
        <v>66</v>
      </c>
      <c r="F81" s="10" t="s">
        <v>33</v>
      </c>
      <c r="G81" s="10" t="s">
        <v>67</v>
      </c>
      <c r="H81" s="10" t="s">
        <v>69</v>
      </c>
      <c r="I81" s="11" t="s">
        <v>628</v>
      </c>
      <c r="J81" s="10" t="n">
        <f aca="false">IF(COUNTIFS($E$2:E81,E81,$A$2:A81,A81)=1,1,0)</f>
        <v>1</v>
      </c>
    </row>
    <row r="82" customFormat="false" ht="15" hidden="false" customHeight="false" outlineLevel="0" collapsed="false">
      <c r="A82" s="9" t="n">
        <v>46024</v>
      </c>
      <c r="B82" s="10" t="s">
        <v>630</v>
      </c>
      <c r="C82" s="10" t="s">
        <v>508</v>
      </c>
      <c r="D82" s="9" t="n">
        <v>46023</v>
      </c>
      <c r="E82" s="10" t="s">
        <v>507</v>
      </c>
      <c r="F82" s="10" t="s">
        <v>44</v>
      </c>
      <c r="G82" s="10" t="s">
        <v>16</v>
      </c>
      <c r="H82" s="10" t="s">
        <v>509</v>
      </c>
      <c r="I82" s="11" t="s">
        <v>631</v>
      </c>
      <c r="J82" s="10" t="n">
        <f aca="false">IF(COUNTIFS($E$2:E82,E82,$A$2:A82,A82)=1,1,0)</f>
        <v>1</v>
      </c>
    </row>
    <row r="83" customFormat="false" ht="15" hidden="false" customHeight="false" outlineLevel="0" collapsed="false">
      <c r="A83" s="9" t="n">
        <v>46024</v>
      </c>
      <c r="B83" s="10" t="s">
        <v>630</v>
      </c>
      <c r="C83" s="10" t="s">
        <v>632</v>
      </c>
      <c r="D83" s="9" t="n">
        <v>46024</v>
      </c>
      <c r="E83" s="10" t="s">
        <v>58</v>
      </c>
      <c r="F83" s="10" t="s">
        <v>21</v>
      </c>
      <c r="G83" s="10" t="s">
        <v>39</v>
      </c>
      <c r="H83" s="10" t="s">
        <v>633</v>
      </c>
      <c r="I83" s="11" t="s">
        <v>631</v>
      </c>
      <c r="J83" s="10" t="n">
        <f aca="false">IF(COUNTIFS($E$2:E83,E83,$A$2:A83,A83)=1,1,0)</f>
        <v>1</v>
      </c>
    </row>
    <row r="84" customFormat="false" ht="15" hidden="false" customHeight="false" outlineLevel="0" collapsed="false">
      <c r="A84" s="9" t="n">
        <v>46024</v>
      </c>
      <c r="B84" s="10" t="s">
        <v>630</v>
      </c>
      <c r="C84" s="10" t="s">
        <v>634</v>
      </c>
      <c r="D84" s="9" t="n">
        <v>46025</v>
      </c>
      <c r="E84" s="10" t="s">
        <v>66</v>
      </c>
      <c r="F84" s="10" t="s">
        <v>33</v>
      </c>
      <c r="G84" s="10" t="s">
        <v>67</v>
      </c>
      <c r="H84" s="10" t="s">
        <v>69</v>
      </c>
      <c r="I84" s="11" t="s">
        <v>631</v>
      </c>
      <c r="J84" s="10" t="n">
        <f aca="false">IF(COUNTIFS($E$2:E84,E84,$A$2:A84,A84)=1,1,0)</f>
        <v>1</v>
      </c>
    </row>
    <row r="85" customFormat="false" ht="15" hidden="false" customHeight="false" outlineLevel="0" collapsed="false">
      <c r="A85" s="9" t="n">
        <v>46024</v>
      </c>
      <c r="B85" s="10" t="s">
        <v>630</v>
      </c>
      <c r="C85" s="10" t="s">
        <v>635</v>
      </c>
      <c r="D85" s="9" t="n">
        <v>46025</v>
      </c>
      <c r="E85" s="10" t="s">
        <v>137</v>
      </c>
      <c r="F85" s="10" t="s">
        <v>33</v>
      </c>
      <c r="G85" s="10" t="s">
        <v>138</v>
      </c>
      <c r="H85" s="10" t="s">
        <v>41</v>
      </c>
      <c r="I85" s="11" t="s">
        <v>631</v>
      </c>
      <c r="J85" s="10" t="n">
        <f aca="false">IF(COUNTIFS($E$2:E85,E85,$A$2:A85,A85)=1,1,0)</f>
        <v>1</v>
      </c>
    </row>
    <row r="86" customFormat="false" ht="15" hidden="false" customHeight="false" outlineLevel="0" collapsed="false">
      <c r="A86" s="9" t="n">
        <v>46024</v>
      </c>
      <c r="B86" s="10" t="s">
        <v>630</v>
      </c>
      <c r="C86" s="10" t="s">
        <v>400</v>
      </c>
      <c r="D86" s="9" t="n">
        <v>46027</v>
      </c>
      <c r="E86" s="10" t="s">
        <v>399</v>
      </c>
      <c r="F86" s="10" t="s">
        <v>177</v>
      </c>
      <c r="G86" s="10" t="s">
        <v>147</v>
      </c>
      <c r="H86" s="10" t="s">
        <v>401</v>
      </c>
      <c r="I86" s="11" t="s">
        <v>631</v>
      </c>
      <c r="J86" s="10" t="n">
        <f aca="false">IF(COUNTIFS($E$2:E86,E86,$A$2:A86,A86)=1,1,0)</f>
        <v>1</v>
      </c>
    </row>
    <row r="87" customFormat="false" ht="15" hidden="false" customHeight="false" outlineLevel="0" collapsed="false">
      <c r="A87" s="9" t="n">
        <v>46024</v>
      </c>
      <c r="B87" s="10" t="s">
        <v>630</v>
      </c>
      <c r="C87" s="10" t="s">
        <v>636</v>
      </c>
      <c r="D87" s="9" t="n">
        <v>46029</v>
      </c>
      <c r="E87" s="10" t="s">
        <v>20</v>
      </c>
      <c r="F87" s="10" t="s">
        <v>21</v>
      </c>
      <c r="G87" s="10" t="s">
        <v>22</v>
      </c>
      <c r="H87" s="10" t="s">
        <v>24</v>
      </c>
      <c r="I87" s="11" t="s">
        <v>631</v>
      </c>
      <c r="J87" s="10" t="n">
        <f aca="false">IF(COUNTIFS($E$2:E87,E87,$A$2:A87,A87)=1,1,0)</f>
        <v>1</v>
      </c>
    </row>
    <row r="88" customFormat="false" ht="15" hidden="false" customHeight="false" outlineLevel="0" collapsed="false">
      <c r="A88" s="9" t="n">
        <v>46024</v>
      </c>
      <c r="B88" s="10" t="s">
        <v>630</v>
      </c>
      <c r="C88" s="10" t="s">
        <v>637</v>
      </c>
      <c r="D88" s="9" t="n">
        <v>46031</v>
      </c>
      <c r="E88" s="10" t="s">
        <v>86</v>
      </c>
      <c r="F88" s="10" t="s">
        <v>87</v>
      </c>
      <c r="G88" s="10" t="s">
        <v>88</v>
      </c>
      <c r="H88" s="10" t="s">
        <v>633</v>
      </c>
      <c r="I88" s="11" t="s">
        <v>631</v>
      </c>
      <c r="J88" s="10" t="n">
        <f aca="false">IF(COUNTIFS($E$2:E88,E88,$A$2:A88,A88)=1,1,0)</f>
        <v>1</v>
      </c>
    </row>
    <row r="89" customFormat="false" ht="15" hidden="false" customHeight="false" outlineLevel="0" collapsed="false">
      <c r="A89" s="9" t="n">
        <v>46024</v>
      </c>
      <c r="B89" s="10" t="s">
        <v>630</v>
      </c>
      <c r="C89" s="10" t="s">
        <v>638</v>
      </c>
      <c r="D89" s="9" t="n">
        <v>46033</v>
      </c>
      <c r="E89" s="10" t="s">
        <v>48</v>
      </c>
      <c r="F89" s="10" t="s">
        <v>33</v>
      </c>
      <c r="G89" s="10" t="s">
        <v>49</v>
      </c>
      <c r="H89" s="10" t="s">
        <v>536</v>
      </c>
      <c r="I89" s="11" t="s">
        <v>631</v>
      </c>
      <c r="J89" s="10" t="n">
        <f aca="false">IF(COUNTIFS($E$2:E89,E89,$A$2:A89,A89)=1,1,0)</f>
        <v>1</v>
      </c>
    </row>
    <row r="90" customFormat="false" ht="15" hidden="false" customHeight="false" outlineLevel="0" collapsed="false">
      <c r="A90" s="9" t="n">
        <v>46024</v>
      </c>
      <c r="B90" s="10" t="s">
        <v>630</v>
      </c>
      <c r="C90" s="10" t="s">
        <v>489</v>
      </c>
      <c r="D90" s="9" t="n">
        <v>46034</v>
      </c>
      <c r="E90" s="10" t="s">
        <v>488</v>
      </c>
      <c r="F90" s="10" t="s">
        <v>282</v>
      </c>
      <c r="G90" s="10" t="s">
        <v>263</v>
      </c>
      <c r="H90" s="10" t="s">
        <v>459</v>
      </c>
      <c r="I90" s="11" t="s">
        <v>631</v>
      </c>
      <c r="J90" s="10" t="n">
        <f aca="false">IF(COUNTIFS($E$2:E90,E90,$A$2:A90,A90)=1,1,0)</f>
        <v>1</v>
      </c>
    </row>
    <row r="91" customFormat="false" ht="15" hidden="false" customHeight="false" outlineLevel="0" collapsed="false">
      <c r="A91" s="9" t="n">
        <v>46024</v>
      </c>
      <c r="B91" s="10" t="s">
        <v>630</v>
      </c>
      <c r="C91" s="10" t="s">
        <v>639</v>
      </c>
      <c r="D91" s="9" t="n">
        <v>46037</v>
      </c>
      <c r="E91" s="10" t="s">
        <v>26</v>
      </c>
      <c r="F91" s="10" t="s">
        <v>27</v>
      </c>
      <c r="G91" s="10" t="s">
        <v>28</v>
      </c>
      <c r="H91" s="10" t="s">
        <v>30</v>
      </c>
      <c r="I91" s="11" t="s">
        <v>631</v>
      </c>
      <c r="J91" s="10" t="n">
        <f aca="false">IF(COUNTIFS($E$2:E91,E91,$A$2:A91,A91)=1,1,0)</f>
        <v>1</v>
      </c>
    </row>
    <row r="92" customFormat="false" ht="15" hidden="false" customHeight="false" outlineLevel="0" collapsed="false">
      <c r="A92" s="9" t="n">
        <v>46024</v>
      </c>
      <c r="B92" s="10" t="s">
        <v>630</v>
      </c>
      <c r="C92" s="10" t="s">
        <v>640</v>
      </c>
      <c r="D92" s="9" t="n">
        <v>46039</v>
      </c>
      <c r="E92" s="10" t="s">
        <v>53</v>
      </c>
      <c r="F92" s="10" t="s">
        <v>15</v>
      </c>
      <c r="G92" s="10" t="s">
        <v>54</v>
      </c>
      <c r="H92" s="10"/>
      <c r="I92" s="11" t="s">
        <v>631</v>
      </c>
      <c r="J92" s="10" t="n">
        <f aca="false">IF(COUNTIFS($E$2:E92,E92,$A$2:A92,A92)=1,1,0)</f>
        <v>1</v>
      </c>
    </row>
    <row r="93" customFormat="false" ht="15" hidden="false" customHeight="false" outlineLevel="0" collapsed="false">
      <c r="A93" s="9" t="n">
        <v>46024</v>
      </c>
      <c r="B93" s="10" t="s">
        <v>630</v>
      </c>
      <c r="C93" s="10" t="s">
        <v>641</v>
      </c>
      <c r="D93" s="9" t="n">
        <v>46040</v>
      </c>
      <c r="E93" s="10" t="s">
        <v>106</v>
      </c>
      <c r="F93" s="10" t="s">
        <v>107</v>
      </c>
      <c r="G93" s="10" t="s">
        <v>108</v>
      </c>
      <c r="H93" s="10" t="s">
        <v>110</v>
      </c>
      <c r="I93" s="11" t="s">
        <v>631</v>
      </c>
      <c r="J93" s="10" t="n">
        <f aca="false">IF(COUNTIFS($E$2:E93,E93,$A$2:A93,A93)=1,1,0)</f>
        <v>1</v>
      </c>
    </row>
    <row r="94" customFormat="false" ht="15" hidden="false" customHeight="false" outlineLevel="0" collapsed="false">
      <c r="A94" s="9" t="n">
        <v>46024</v>
      </c>
      <c r="B94" s="10" t="s">
        <v>630</v>
      </c>
      <c r="C94" s="10" t="s">
        <v>642</v>
      </c>
      <c r="D94" s="9" t="n">
        <v>46040</v>
      </c>
      <c r="E94" s="10" t="s">
        <v>58</v>
      </c>
      <c r="F94" s="10" t="s">
        <v>21</v>
      </c>
      <c r="G94" s="10" t="s">
        <v>39</v>
      </c>
      <c r="H94" s="10" t="s">
        <v>449</v>
      </c>
      <c r="I94" s="11" t="s">
        <v>631</v>
      </c>
      <c r="J94" s="10" t="n">
        <f aca="false">IF(COUNTIFS($E$2:E94,E94,$A$2:A94,A94)=1,1,0)</f>
        <v>0</v>
      </c>
    </row>
    <row r="95" customFormat="false" ht="15" hidden="false" customHeight="false" outlineLevel="0" collapsed="false">
      <c r="A95" s="9" t="n">
        <v>46024</v>
      </c>
      <c r="B95" s="10" t="s">
        <v>630</v>
      </c>
      <c r="C95" s="10" t="s">
        <v>353</v>
      </c>
      <c r="D95" s="9" t="n">
        <v>46041</v>
      </c>
      <c r="E95" s="10" t="s">
        <v>351</v>
      </c>
      <c r="F95" s="10" t="s">
        <v>33</v>
      </c>
      <c r="G95" s="10" t="s">
        <v>352</v>
      </c>
      <c r="H95" s="10" t="s">
        <v>354</v>
      </c>
      <c r="I95" s="11" t="s">
        <v>631</v>
      </c>
      <c r="J95" s="10" t="n">
        <f aca="false">IF(COUNTIFS($E$2:E95,E95,$A$2:A95,A95)=1,1,0)</f>
        <v>1</v>
      </c>
    </row>
    <row r="96" customFormat="false" ht="15" hidden="false" customHeight="false" outlineLevel="0" collapsed="false">
      <c r="A96" s="9" t="n">
        <v>46024</v>
      </c>
      <c r="B96" s="10" t="s">
        <v>630</v>
      </c>
      <c r="C96" s="10" t="s">
        <v>309</v>
      </c>
      <c r="D96" s="9" t="n">
        <v>46042</v>
      </c>
      <c r="E96" s="10" t="s">
        <v>308</v>
      </c>
      <c r="F96" s="10" t="s">
        <v>44</v>
      </c>
      <c r="G96" s="10" t="s">
        <v>54</v>
      </c>
      <c r="H96" s="10" t="s">
        <v>310</v>
      </c>
      <c r="I96" s="11" t="s">
        <v>631</v>
      </c>
      <c r="J96" s="10" t="n">
        <f aca="false">IF(COUNTIFS($E$2:E96,E96,$A$2:A96,A96)=1,1,0)</f>
        <v>1</v>
      </c>
    </row>
    <row r="97" customFormat="false" ht="15" hidden="false" customHeight="false" outlineLevel="0" collapsed="false">
      <c r="A97" s="9" t="n">
        <v>46024</v>
      </c>
      <c r="B97" s="10" t="s">
        <v>630</v>
      </c>
      <c r="C97" s="10" t="s">
        <v>356</v>
      </c>
      <c r="D97" s="9" t="n">
        <v>46043</v>
      </c>
      <c r="E97" s="10" t="s">
        <v>355</v>
      </c>
      <c r="F97" s="10" t="s">
        <v>107</v>
      </c>
      <c r="G97" s="10" t="s">
        <v>213</v>
      </c>
      <c r="H97" s="10" t="s">
        <v>357</v>
      </c>
      <c r="I97" s="11" t="s">
        <v>631</v>
      </c>
      <c r="J97" s="10" t="n">
        <f aca="false">IF(COUNTIFS($E$2:E97,E97,$A$2:A97,A97)=1,1,0)</f>
        <v>1</v>
      </c>
    </row>
    <row r="98" customFormat="false" ht="15" hidden="false" customHeight="false" outlineLevel="0" collapsed="false">
      <c r="A98" s="9" t="n">
        <v>46024</v>
      </c>
      <c r="B98" s="10" t="s">
        <v>630</v>
      </c>
      <c r="C98" s="10" t="s">
        <v>643</v>
      </c>
      <c r="D98" s="9" t="n">
        <v>46045</v>
      </c>
      <c r="E98" s="10" t="s">
        <v>32</v>
      </c>
      <c r="F98" s="10" t="s">
        <v>33</v>
      </c>
      <c r="G98" s="10" t="s">
        <v>34</v>
      </c>
      <c r="H98" s="10" t="s">
        <v>36</v>
      </c>
      <c r="I98" s="11" t="s">
        <v>631</v>
      </c>
      <c r="J98" s="10" t="n">
        <f aca="false">IF(COUNTIFS($E$2:E98,E98,$A$2:A98,A98)=1,1,0)</f>
        <v>1</v>
      </c>
    </row>
    <row r="99" customFormat="false" ht="15" hidden="false" customHeight="false" outlineLevel="0" collapsed="false">
      <c r="A99" s="9" t="n">
        <v>46024</v>
      </c>
      <c r="B99" s="10" t="s">
        <v>630</v>
      </c>
      <c r="C99" s="10" t="s">
        <v>644</v>
      </c>
      <c r="D99" s="9" t="n">
        <v>46047</v>
      </c>
      <c r="E99" s="10" t="s">
        <v>48</v>
      </c>
      <c r="F99" s="10" t="s">
        <v>33</v>
      </c>
      <c r="G99" s="10" t="s">
        <v>49</v>
      </c>
      <c r="H99" s="10" t="s">
        <v>51</v>
      </c>
      <c r="I99" s="11" t="s">
        <v>631</v>
      </c>
      <c r="J99" s="10" t="n">
        <f aca="false">IF(COUNTIFS($E$2:E99,E99,$A$2:A99,A99)=1,1,0)</f>
        <v>0</v>
      </c>
    </row>
    <row r="100" customFormat="false" ht="15" hidden="false" customHeight="false" outlineLevel="0" collapsed="false">
      <c r="A100" s="9" t="n">
        <v>46024</v>
      </c>
      <c r="B100" s="10" t="s">
        <v>630</v>
      </c>
      <c r="C100" s="10" t="s">
        <v>645</v>
      </c>
      <c r="D100" s="9" t="n">
        <v>46049</v>
      </c>
      <c r="E100" s="10" t="s">
        <v>112</v>
      </c>
      <c r="F100" s="10" t="s">
        <v>21</v>
      </c>
      <c r="G100" s="10" t="s">
        <v>113</v>
      </c>
      <c r="H100" s="10" t="s">
        <v>115</v>
      </c>
      <c r="I100" s="11" t="s">
        <v>631</v>
      </c>
      <c r="J100" s="10" t="n">
        <f aca="false">IF(COUNTIFS($E$2:E100,E100,$A$2:A100,A100)=1,1,0)</f>
        <v>1</v>
      </c>
    </row>
    <row r="101" customFormat="false" ht="15" hidden="false" customHeight="false" outlineLevel="0" collapsed="false">
      <c r="A101" s="9" t="n">
        <v>46038</v>
      </c>
      <c r="B101" s="10" t="s">
        <v>646</v>
      </c>
      <c r="C101" s="10" t="s">
        <v>636</v>
      </c>
      <c r="D101" s="9" t="n">
        <v>46029</v>
      </c>
      <c r="E101" s="10" t="s">
        <v>20</v>
      </c>
      <c r="F101" s="10" t="s">
        <v>21</v>
      </c>
      <c r="G101" s="10" t="s">
        <v>22</v>
      </c>
      <c r="H101" s="10" t="s">
        <v>24</v>
      </c>
      <c r="I101" s="11" t="s">
        <v>647</v>
      </c>
      <c r="J101" s="10" t="n">
        <f aca="false">IF(COUNTIFS($E$2:E101,E101,$A$2:A101,A101)=1,1,0)</f>
        <v>1</v>
      </c>
    </row>
    <row r="102" customFormat="false" ht="15" hidden="false" customHeight="false" outlineLevel="0" collapsed="false">
      <c r="A102" s="9" t="n">
        <v>46038</v>
      </c>
      <c r="B102" s="10" t="s">
        <v>646</v>
      </c>
      <c r="C102" s="10" t="s">
        <v>639</v>
      </c>
      <c r="D102" s="9" t="n">
        <v>46037</v>
      </c>
      <c r="E102" s="10" t="s">
        <v>26</v>
      </c>
      <c r="F102" s="10" t="s">
        <v>27</v>
      </c>
      <c r="G102" s="10" t="s">
        <v>28</v>
      </c>
      <c r="H102" s="10" t="s">
        <v>30</v>
      </c>
      <c r="I102" s="11" t="s">
        <v>647</v>
      </c>
      <c r="J102" s="10" t="n">
        <f aca="false">IF(COUNTIFS($E$2:E102,E102,$A$2:A102,A102)=1,1,0)</f>
        <v>1</v>
      </c>
    </row>
    <row r="103" customFormat="false" ht="15" hidden="false" customHeight="false" outlineLevel="0" collapsed="false">
      <c r="A103" s="9" t="n">
        <v>46038</v>
      </c>
      <c r="B103" s="10" t="s">
        <v>646</v>
      </c>
      <c r="C103" s="10" t="s">
        <v>648</v>
      </c>
      <c r="D103" s="9" t="n">
        <v>46039</v>
      </c>
      <c r="E103" s="10" t="s">
        <v>133</v>
      </c>
      <c r="F103" s="10" t="s">
        <v>33</v>
      </c>
      <c r="G103" s="10" t="s">
        <v>134</v>
      </c>
      <c r="H103" s="10" t="s">
        <v>136</v>
      </c>
      <c r="I103" s="11" t="s">
        <v>647</v>
      </c>
      <c r="J103" s="10" t="n">
        <f aca="false">IF(COUNTIFS($E$2:E103,E103,$A$2:A103,A103)=1,1,0)</f>
        <v>1</v>
      </c>
    </row>
    <row r="104" customFormat="false" ht="15" hidden="false" customHeight="false" outlineLevel="0" collapsed="false">
      <c r="A104" s="9" t="n">
        <v>46038</v>
      </c>
      <c r="B104" s="10" t="s">
        <v>646</v>
      </c>
      <c r="C104" s="10" t="s">
        <v>640</v>
      </c>
      <c r="D104" s="9" t="n">
        <v>46039</v>
      </c>
      <c r="E104" s="10" t="s">
        <v>53</v>
      </c>
      <c r="F104" s="10" t="s">
        <v>15</v>
      </c>
      <c r="G104" s="10" t="s">
        <v>54</v>
      </c>
      <c r="H104" s="10" t="s">
        <v>24</v>
      </c>
      <c r="I104" s="11" t="s">
        <v>647</v>
      </c>
      <c r="J104" s="10" t="n">
        <f aca="false">IF(COUNTIFS($E$2:E104,E104,$A$2:A104,A104)=1,1,0)</f>
        <v>1</v>
      </c>
    </row>
    <row r="105" customFormat="false" ht="15" hidden="false" customHeight="false" outlineLevel="0" collapsed="false">
      <c r="A105" s="9" t="n">
        <v>46038</v>
      </c>
      <c r="B105" s="10" t="s">
        <v>646</v>
      </c>
      <c r="C105" s="10" t="s">
        <v>641</v>
      </c>
      <c r="D105" s="9" t="n">
        <v>46040</v>
      </c>
      <c r="E105" s="10" t="s">
        <v>106</v>
      </c>
      <c r="F105" s="10" t="s">
        <v>107</v>
      </c>
      <c r="G105" s="10" t="s">
        <v>108</v>
      </c>
      <c r="H105" s="10" t="s">
        <v>110</v>
      </c>
      <c r="I105" s="11" t="s">
        <v>647</v>
      </c>
      <c r="J105" s="10" t="n">
        <f aca="false">IF(COUNTIFS($E$2:E105,E105,$A$2:A105,A105)=1,1,0)</f>
        <v>1</v>
      </c>
    </row>
    <row r="106" customFormat="false" ht="15" hidden="false" customHeight="false" outlineLevel="0" collapsed="false">
      <c r="A106" s="9" t="n">
        <v>46038</v>
      </c>
      <c r="B106" s="10" t="s">
        <v>646</v>
      </c>
      <c r="C106" s="10" t="s">
        <v>642</v>
      </c>
      <c r="D106" s="9" t="n">
        <v>46040</v>
      </c>
      <c r="E106" s="10" t="s">
        <v>58</v>
      </c>
      <c r="F106" s="10" t="s">
        <v>21</v>
      </c>
      <c r="G106" s="10" t="s">
        <v>39</v>
      </c>
      <c r="H106" s="10" t="s">
        <v>449</v>
      </c>
      <c r="I106" s="11" t="s">
        <v>647</v>
      </c>
      <c r="J106" s="10" t="n">
        <f aca="false">IF(COUNTIFS($E$2:E106,E106,$A$2:A106,A106)=1,1,0)</f>
        <v>1</v>
      </c>
    </row>
    <row r="107" customFormat="false" ht="15" hidden="false" customHeight="false" outlineLevel="0" collapsed="false">
      <c r="A107" s="9" t="n">
        <v>46038</v>
      </c>
      <c r="B107" s="10" t="s">
        <v>646</v>
      </c>
      <c r="C107" s="10" t="s">
        <v>353</v>
      </c>
      <c r="D107" s="9" t="n">
        <v>46041</v>
      </c>
      <c r="E107" s="10" t="s">
        <v>351</v>
      </c>
      <c r="F107" s="10" t="s">
        <v>33</v>
      </c>
      <c r="G107" s="10" t="s">
        <v>352</v>
      </c>
      <c r="H107" s="10" t="s">
        <v>354</v>
      </c>
      <c r="I107" s="11" t="s">
        <v>647</v>
      </c>
      <c r="J107" s="10" t="n">
        <f aca="false">IF(COUNTIFS($E$2:E107,E107,$A$2:A107,A107)=1,1,0)</f>
        <v>1</v>
      </c>
    </row>
    <row r="108" customFormat="false" ht="15" hidden="false" customHeight="false" outlineLevel="0" collapsed="false">
      <c r="A108" s="9" t="n">
        <v>46038</v>
      </c>
      <c r="B108" s="10" t="s">
        <v>646</v>
      </c>
      <c r="C108" s="10" t="s">
        <v>309</v>
      </c>
      <c r="D108" s="9" t="n">
        <v>46042</v>
      </c>
      <c r="E108" s="10" t="s">
        <v>308</v>
      </c>
      <c r="F108" s="10" t="s">
        <v>44</v>
      </c>
      <c r="G108" s="10" t="s">
        <v>54</v>
      </c>
      <c r="H108" s="10" t="s">
        <v>310</v>
      </c>
      <c r="I108" s="11" t="s">
        <v>647</v>
      </c>
      <c r="J108" s="10" t="n">
        <f aca="false">IF(COUNTIFS($E$2:E108,E108,$A$2:A108,A108)=1,1,0)</f>
        <v>1</v>
      </c>
    </row>
    <row r="109" customFormat="false" ht="15" hidden="false" customHeight="false" outlineLevel="0" collapsed="false">
      <c r="A109" s="9" t="n">
        <v>46038</v>
      </c>
      <c r="B109" s="10" t="s">
        <v>646</v>
      </c>
      <c r="C109" s="10" t="s">
        <v>504</v>
      </c>
      <c r="D109" s="9" t="n">
        <v>46043</v>
      </c>
      <c r="E109" s="10" t="s">
        <v>503</v>
      </c>
      <c r="F109" s="10" t="s">
        <v>21</v>
      </c>
      <c r="G109" s="10" t="s">
        <v>155</v>
      </c>
      <c r="H109" s="10" t="s">
        <v>310</v>
      </c>
      <c r="I109" s="11" t="s">
        <v>647</v>
      </c>
      <c r="J109" s="10" t="n">
        <f aca="false">IF(COUNTIFS($E$2:E109,E109,$A$2:A109,A109)=1,1,0)</f>
        <v>1</v>
      </c>
    </row>
    <row r="110" customFormat="false" ht="15" hidden="false" customHeight="false" outlineLevel="0" collapsed="false">
      <c r="A110" s="9" t="n">
        <v>46038</v>
      </c>
      <c r="B110" s="10" t="s">
        <v>646</v>
      </c>
      <c r="C110" s="10" t="s">
        <v>356</v>
      </c>
      <c r="D110" s="9" t="n">
        <v>46043</v>
      </c>
      <c r="E110" s="10" t="s">
        <v>355</v>
      </c>
      <c r="F110" s="10" t="s">
        <v>107</v>
      </c>
      <c r="G110" s="10" t="s">
        <v>213</v>
      </c>
      <c r="H110" s="10" t="s">
        <v>357</v>
      </c>
      <c r="I110" s="11" t="s">
        <v>647</v>
      </c>
      <c r="J110" s="10" t="n">
        <f aca="false">IF(COUNTIFS($E$2:E110,E110,$A$2:A110,A110)=1,1,0)</f>
        <v>1</v>
      </c>
    </row>
    <row r="111" customFormat="false" ht="15" hidden="false" customHeight="false" outlineLevel="0" collapsed="false">
      <c r="A111" s="9" t="n">
        <v>46038</v>
      </c>
      <c r="B111" s="10" t="s">
        <v>646</v>
      </c>
      <c r="C111" s="10" t="s">
        <v>643</v>
      </c>
      <c r="D111" s="9" t="n">
        <v>46045</v>
      </c>
      <c r="E111" s="10" t="s">
        <v>32</v>
      </c>
      <c r="F111" s="10" t="s">
        <v>33</v>
      </c>
      <c r="G111" s="10" t="s">
        <v>34</v>
      </c>
      <c r="H111" s="10" t="s">
        <v>36</v>
      </c>
      <c r="I111" s="11" t="s">
        <v>647</v>
      </c>
      <c r="J111" s="10" t="n">
        <f aca="false">IF(COUNTIFS($E$2:E111,E111,$A$2:A111,A111)=1,1,0)</f>
        <v>1</v>
      </c>
    </row>
    <row r="112" customFormat="false" ht="15" hidden="false" customHeight="false" outlineLevel="0" collapsed="false">
      <c r="A112" s="9" t="n">
        <v>46038</v>
      </c>
      <c r="B112" s="10" t="s">
        <v>646</v>
      </c>
      <c r="C112" s="10" t="s">
        <v>644</v>
      </c>
      <c r="D112" s="9" t="n">
        <v>46047</v>
      </c>
      <c r="E112" s="10" t="s">
        <v>48</v>
      </c>
      <c r="F112" s="10" t="s">
        <v>33</v>
      </c>
      <c r="G112" s="10" t="s">
        <v>49</v>
      </c>
      <c r="H112" s="10" t="s">
        <v>51</v>
      </c>
      <c r="I112" s="11" t="s">
        <v>647</v>
      </c>
      <c r="J112" s="10" t="n">
        <f aca="false">IF(COUNTIFS($E$2:E112,E112,$A$2:A112,A112)=1,1,0)</f>
        <v>1</v>
      </c>
    </row>
    <row r="113" customFormat="false" ht="15" hidden="false" customHeight="false" outlineLevel="0" collapsed="false">
      <c r="A113" s="9" t="n">
        <v>46038</v>
      </c>
      <c r="B113" s="10" t="s">
        <v>646</v>
      </c>
      <c r="C113" s="10" t="s">
        <v>645</v>
      </c>
      <c r="D113" s="9" t="n">
        <v>46049</v>
      </c>
      <c r="E113" s="10" t="s">
        <v>112</v>
      </c>
      <c r="F113" s="10" t="s">
        <v>21</v>
      </c>
      <c r="G113" s="10" t="s">
        <v>113</v>
      </c>
      <c r="H113" s="10" t="s">
        <v>115</v>
      </c>
      <c r="I113" s="11" t="s">
        <v>647</v>
      </c>
      <c r="J113" s="10" t="n">
        <f aca="false">IF(COUNTIFS($E$2:E113,E113,$A$2:A113,A113)=1,1,0)</f>
        <v>1</v>
      </c>
    </row>
    <row r="114" customFormat="false" ht="15" hidden="false" customHeight="false" outlineLevel="0" collapsed="false">
      <c r="A114" s="9" t="n">
        <v>46038</v>
      </c>
      <c r="B114" s="10" t="s">
        <v>646</v>
      </c>
      <c r="C114" s="10" t="s">
        <v>649</v>
      </c>
      <c r="D114" s="9" t="n">
        <v>46050</v>
      </c>
      <c r="E114" s="10" t="s">
        <v>66</v>
      </c>
      <c r="F114" s="10" t="s">
        <v>33</v>
      </c>
      <c r="G114" s="10" t="s">
        <v>67</v>
      </c>
      <c r="H114" s="10" t="s">
        <v>69</v>
      </c>
      <c r="I114" s="11" t="s">
        <v>647</v>
      </c>
      <c r="J114" s="10" t="n">
        <f aca="false">IF(COUNTIFS($E$2:E114,E114,$A$2:A114,A114)=1,1,0)</f>
        <v>1</v>
      </c>
    </row>
    <row r="115" customFormat="false" ht="15" hidden="false" customHeight="false" outlineLevel="0" collapsed="false">
      <c r="A115" s="9" t="n">
        <v>46038</v>
      </c>
      <c r="B115" s="10" t="s">
        <v>646</v>
      </c>
      <c r="C115" s="10" t="s">
        <v>650</v>
      </c>
      <c r="D115" s="9" t="n">
        <v>46053</v>
      </c>
      <c r="E115" s="10" t="s">
        <v>32</v>
      </c>
      <c r="F115" s="10" t="s">
        <v>33</v>
      </c>
      <c r="G115" s="10" t="s">
        <v>34</v>
      </c>
      <c r="H115" s="10" t="s">
        <v>651</v>
      </c>
      <c r="I115" s="11" t="s">
        <v>647</v>
      </c>
      <c r="J115" s="10" t="n">
        <f aca="false">IF(COUNTIFS($E$2:E115,E115,$A$2:A115,A115)=1,1,0)</f>
        <v>0</v>
      </c>
    </row>
    <row r="116" customFormat="false" ht="15" hidden="false" customHeight="false" outlineLevel="0" collapsed="false">
      <c r="A116" s="9" t="n">
        <v>46038</v>
      </c>
      <c r="B116" s="10" t="s">
        <v>646</v>
      </c>
      <c r="C116" s="10" t="s">
        <v>652</v>
      </c>
      <c r="D116" s="9" t="n">
        <v>46055</v>
      </c>
      <c r="E116" s="10" t="s">
        <v>141</v>
      </c>
      <c r="F116" s="10" t="s">
        <v>107</v>
      </c>
      <c r="G116" s="10" t="s">
        <v>142</v>
      </c>
      <c r="H116" s="10" t="s">
        <v>653</v>
      </c>
      <c r="I116" s="11" t="s">
        <v>647</v>
      </c>
      <c r="J116" s="10" t="n">
        <f aca="false">IF(COUNTIFS($E$2:E116,E116,$A$2:A116,A116)=1,1,0)</f>
        <v>1</v>
      </c>
    </row>
    <row r="117" customFormat="false" ht="15" hidden="false" customHeight="false" outlineLevel="0" collapsed="false">
      <c r="A117" s="9" t="n">
        <v>46038</v>
      </c>
      <c r="B117" s="10" t="s">
        <v>646</v>
      </c>
      <c r="C117" s="10" t="s">
        <v>654</v>
      </c>
      <c r="D117" s="9" t="n">
        <v>46056</v>
      </c>
      <c r="E117" s="10" t="s">
        <v>86</v>
      </c>
      <c r="F117" s="10" t="s">
        <v>87</v>
      </c>
      <c r="G117" s="10" t="s">
        <v>88</v>
      </c>
      <c r="H117" s="10"/>
      <c r="I117" s="11" t="s">
        <v>647</v>
      </c>
      <c r="J117" s="10" t="n">
        <f aca="false">IF(COUNTIFS($E$2:E117,E117,$A$2:A117,A117)=1,1,0)</f>
        <v>1</v>
      </c>
    </row>
    <row r="118" customFormat="false" ht="15" hidden="false" customHeight="false" outlineLevel="0" collapsed="false">
      <c r="A118" s="9" t="n">
        <v>46055</v>
      </c>
      <c r="B118" s="10" t="s">
        <v>655</v>
      </c>
      <c r="C118" s="10" t="s">
        <v>652</v>
      </c>
      <c r="D118" s="9" t="n">
        <v>46055</v>
      </c>
      <c r="E118" s="10" t="s">
        <v>141</v>
      </c>
      <c r="F118" s="10" t="s">
        <v>107</v>
      </c>
      <c r="G118" s="10" t="s">
        <v>142</v>
      </c>
      <c r="H118" s="10" t="s">
        <v>653</v>
      </c>
      <c r="I118" s="11" t="s">
        <v>656</v>
      </c>
      <c r="J118" s="10" t="n">
        <f aca="false">IF(COUNTIFS($E$2:E118,E118,$A$2:A118,A118)=1,1,0)</f>
        <v>1</v>
      </c>
    </row>
    <row r="119" customFormat="false" ht="15" hidden="false" customHeight="false" outlineLevel="0" collapsed="false">
      <c r="A119" s="9" t="n">
        <v>46055</v>
      </c>
      <c r="B119" s="10" t="s">
        <v>655</v>
      </c>
      <c r="C119" s="10" t="s">
        <v>654</v>
      </c>
      <c r="D119" s="9" t="n">
        <v>46056</v>
      </c>
      <c r="E119" s="10" t="s">
        <v>86</v>
      </c>
      <c r="F119" s="10" t="s">
        <v>87</v>
      </c>
      <c r="G119" s="10" t="s">
        <v>88</v>
      </c>
      <c r="H119" s="10"/>
      <c r="I119" s="11" t="s">
        <v>656</v>
      </c>
      <c r="J119" s="10" t="n">
        <f aca="false">IF(COUNTIFS($E$2:E119,E119,$A$2:A119,A119)=1,1,0)</f>
        <v>1</v>
      </c>
    </row>
    <row r="120" customFormat="false" ht="15" hidden="false" customHeight="false" outlineLevel="0" collapsed="false">
      <c r="A120" s="9" t="n">
        <v>46055</v>
      </c>
      <c r="B120" s="10" t="s">
        <v>655</v>
      </c>
      <c r="C120" s="10" t="s">
        <v>184</v>
      </c>
      <c r="D120" s="9" t="n">
        <v>46056</v>
      </c>
      <c r="E120" s="10" t="s">
        <v>182</v>
      </c>
      <c r="F120" s="10" t="s">
        <v>154</v>
      </c>
      <c r="G120" s="10" t="s">
        <v>183</v>
      </c>
      <c r="H120" s="10" t="s">
        <v>185</v>
      </c>
      <c r="I120" s="11" t="s">
        <v>656</v>
      </c>
      <c r="J120" s="10" t="n">
        <f aca="false">IF(COUNTIFS($E$2:E120,E120,$A$2:A120,A120)=1,1,0)</f>
        <v>1</v>
      </c>
    </row>
    <row r="121" customFormat="false" ht="15" hidden="false" customHeight="false" outlineLevel="0" collapsed="false">
      <c r="A121" s="9" t="n">
        <v>46055</v>
      </c>
      <c r="B121" s="10" t="s">
        <v>655</v>
      </c>
      <c r="C121" s="10" t="s">
        <v>657</v>
      </c>
      <c r="D121" s="9" t="n">
        <v>46058</v>
      </c>
      <c r="E121" s="10" t="s">
        <v>20</v>
      </c>
      <c r="F121" s="10" t="s">
        <v>21</v>
      </c>
      <c r="G121" s="10" t="s">
        <v>22</v>
      </c>
      <c r="H121" s="10" t="s">
        <v>24</v>
      </c>
      <c r="I121" s="11" t="s">
        <v>656</v>
      </c>
      <c r="J121" s="10" t="n">
        <f aca="false">IF(COUNTIFS($E$2:E121,E121,$A$2:A121,A121)=1,1,0)</f>
        <v>1</v>
      </c>
    </row>
    <row r="122" customFormat="false" ht="15" hidden="false" customHeight="false" outlineLevel="0" collapsed="false">
      <c r="A122" s="9" t="n">
        <v>46055</v>
      </c>
      <c r="B122" s="10" t="s">
        <v>655</v>
      </c>
      <c r="C122" s="10" t="s">
        <v>658</v>
      </c>
      <c r="D122" s="9" t="n">
        <v>46060</v>
      </c>
      <c r="E122" s="10" t="s">
        <v>227</v>
      </c>
      <c r="F122" s="10" t="s">
        <v>87</v>
      </c>
      <c r="G122" s="10" t="s">
        <v>54</v>
      </c>
      <c r="H122" s="10"/>
      <c r="I122" s="11" t="s">
        <v>656</v>
      </c>
      <c r="J122" s="10" t="n">
        <f aca="false">IF(COUNTIFS($E$2:E122,E122,$A$2:A122,A122)=1,1,0)</f>
        <v>1</v>
      </c>
    </row>
    <row r="123" customFormat="false" ht="15" hidden="false" customHeight="false" outlineLevel="0" collapsed="false">
      <c r="A123" s="9" t="n">
        <v>46055</v>
      </c>
      <c r="B123" s="10" t="s">
        <v>655</v>
      </c>
      <c r="C123" s="10" t="s">
        <v>659</v>
      </c>
      <c r="D123" s="9" t="n">
        <v>46061</v>
      </c>
      <c r="E123" s="10" t="s">
        <v>141</v>
      </c>
      <c r="F123" s="10" t="s">
        <v>107</v>
      </c>
      <c r="G123" s="10" t="s">
        <v>142</v>
      </c>
      <c r="H123" s="10" t="s">
        <v>660</v>
      </c>
      <c r="I123" s="11" t="s">
        <v>656</v>
      </c>
      <c r="J123" s="10" t="n">
        <f aca="false">IF(COUNTIFS($E$2:E123,E123,$A$2:A123,A123)=1,1,0)</f>
        <v>0</v>
      </c>
    </row>
    <row r="124" customFormat="false" ht="15" hidden="false" customHeight="false" outlineLevel="0" collapsed="false">
      <c r="A124" s="9" t="n">
        <v>46055</v>
      </c>
      <c r="B124" s="10" t="s">
        <v>655</v>
      </c>
      <c r="C124" s="10" t="s">
        <v>553</v>
      </c>
      <c r="D124" s="9" t="n">
        <v>46065</v>
      </c>
      <c r="E124" s="10" t="s">
        <v>551</v>
      </c>
      <c r="F124" s="10" t="s">
        <v>27</v>
      </c>
      <c r="G124" s="10" t="s">
        <v>552</v>
      </c>
      <c r="H124" s="10"/>
      <c r="I124" s="11" t="s">
        <v>656</v>
      </c>
      <c r="J124" s="10" t="n">
        <f aca="false">IF(COUNTIFS($E$2:E124,E124,$A$2:A124,A124)=1,1,0)</f>
        <v>1</v>
      </c>
    </row>
    <row r="125" customFormat="false" ht="15" hidden="false" customHeight="false" outlineLevel="0" collapsed="false">
      <c r="A125" s="9" t="n">
        <v>46055</v>
      </c>
      <c r="B125" s="10" t="s">
        <v>655</v>
      </c>
      <c r="C125" s="10" t="s">
        <v>661</v>
      </c>
      <c r="D125" s="9" t="n">
        <v>46068</v>
      </c>
      <c r="E125" s="10" t="s">
        <v>20</v>
      </c>
      <c r="F125" s="10" t="s">
        <v>21</v>
      </c>
      <c r="G125" s="10" t="s">
        <v>22</v>
      </c>
      <c r="H125" s="10" t="s">
        <v>24</v>
      </c>
      <c r="I125" s="11" t="s">
        <v>656</v>
      </c>
      <c r="J125" s="10" t="n">
        <f aca="false">IF(COUNTIFS($E$2:E125,E125,$A$2:A125,A125)=1,1,0)</f>
        <v>0</v>
      </c>
    </row>
    <row r="126" customFormat="false" ht="15" hidden="false" customHeight="false" outlineLevel="0" collapsed="false">
      <c r="A126" s="9" t="n">
        <v>46055</v>
      </c>
      <c r="B126" s="10" t="s">
        <v>655</v>
      </c>
      <c r="C126" s="10" t="s">
        <v>662</v>
      </c>
      <c r="D126" s="9" t="n">
        <v>46069</v>
      </c>
      <c r="E126" s="10" t="s">
        <v>230</v>
      </c>
      <c r="F126" s="10" t="s">
        <v>177</v>
      </c>
      <c r="G126" s="10" t="s">
        <v>155</v>
      </c>
      <c r="H126" s="10" t="s">
        <v>401</v>
      </c>
      <c r="I126" s="11" t="s">
        <v>656</v>
      </c>
      <c r="J126" s="10" t="n">
        <f aca="false">IF(COUNTIFS($E$2:E126,E126,$A$2:A126,A126)=1,1,0)</f>
        <v>1</v>
      </c>
    </row>
    <row r="127" customFormat="false" ht="15" hidden="false" customHeight="false" outlineLevel="0" collapsed="false">
      <c r="A127" s="9" t="n">
        <v>46055</v>
      </c>
      <c r="B127" s="10" t="s">
        <v>655</v>
      </c>
      <c r="C127" s="10" t="s">
        <v>663</v>
      </c>
      <c r="D127" s="9" t="n">
        <v>46072</v>
      </c>
      <c r="E127" s="10" t="s">
        <v>112</v>
      </c>
      <c r="F127" s="10" t="s">
        <v>21</v>
      </c>
      <c r="G127" s="10" t="s">
        <v>113</v>
      </c>
      <c r="H127" s="10" t="s">
        <v>664</v>
      </c>
      <c r="I127" s="11" t="s">
        <v>656</v>
      </c>
      <c r="J127" s="10" t="n">
        <f aca="false">IF(COUNTIFS($E$2:E127,E127,$A$2:A127,A127)=1,1,0)</f>
        <v>1</v>
      </c>
    </row>
    <row r="128" customFormat="false" ht="15" hidden="false" customHeight="false" outlineLevel="0" collapsed="false">
      <c r="A128" s="9" t="n">
        <v>46055</v>
      </c>
      <c r="B128" s="10" t="s">
        <v>655</v>
      </c>
      <c r="C128" s="10" t="s">
        <v>665</v>
      </c>
      <c r="D128" s="9" t="n">
        <v>46073</v>
      </c>
      <c r="E128" s="10" t="s">
        <v>58</v>
      </c>
      <c r="F128" s="10" t="s">
        <v>21</v>
      </c>
      <c r="G128" s="10" t="s">
        <v>39</v>
      </c>
      <c r="H128" s="10" t="s">
        <v>60</v>
      </c>
      <c r="I128" s="11" t="s">
        <v>656</v>
      </c>
      <c r="J128" s="10" t="n">
        <f aca="false">IF(COUNTIFS($E$2:E128,E128,$A$2:A128,A128)=1,1,0)</f>
        <v>1</v>
      </c>
    </row>
    <row r="129" customFormat="false" ht="15" hidden="false" customHeight="false" outlineLevel="0" collapsed="false">
      <c r="A129" s="9" t="n">
        <v>46055</v>
      </c>
      <c r="B129" s="10" t="s">
        <v>655</v>
      </c>
      <c r="C129" s="10" t="s">
        <v>643</v>
      </c>
      <c r="D129" s="9" t="n">
        <v>46074</v>
      </c>
      <c r="E129" s="10" t="s">
        <v>32</v>
      </c>
      <c r="F129" s="10" t="s">
        <v>33</v>
      </c>
      <c r="G129" s="10" t="s">
        <v>34</v>
      </c>
      <c r="H129" s="10" t="s">
        <v>36</v>
      </c>
      <c r="I129" s="11" t="s">
        <v>656</v>
      </c>
      <c r="J129" s="10" t="n">
        <f aca="false">IF(COUNTIFS($E$2:E129,E129,$A$2:A129,A129)=1,1,0)</f>
        <v>1</v>
      </c>
    </row>
    <row r="130" customFormat="false" ht="15" hidden="false" customHeight="false" outlineLevel="0" collapsed="false">
      <c r="A130" s="9" t="n">
        <v>46055</v>
      </c>
      <c r="B130" s="10" t="s">
        <v>655</v>
      </c>
      <c r="C130" s="10" t="s">
        <v>644</v>
      </c>
      <c r="D130" s="9" t="n">
        <v>46075</v>
      </c>
      <c r="E130" s="10" t="s">
        <v>48</v>
      </c>
      <c r="F130" s="10" t="s">
        <v>33</v>
      </c>
      <c r="G130" s="10" t="s">
        <v>49</v>
      </c>
      <c r="H130" s="10" t="s">
        <v>51</v>
      </c>
      <c r="I130" s="11" t="s">
        <v>656</v>
      </c>
      <c r="J130" s="10" t="n">
        <f aca="false">IF(COUNTIFS($E$2:E130,E130,$A$2:A130,A130)=1,1,0)</f>
        <v>1</v>
      </c>
    </row>
    <row r="131" customFormat="false" ht="15" hidden="false" customHeight="false" outlineLevel="0" collapsed="false">
      <c r="A131" s="9" t="n">
        <v>46055</v>
      </c>
      <c r="B131" s="10" t="s">
        <v>655</v>
      </c>
      <c r="C131" s="10" t="s">
        <v>114</v>
      </c>
      <c r="D131" s="9" t="n">
        <v>46077</v>
      </c>
      <c r="E131" s="10" t="s">
        <v>112</v>
      </c>
      <c r="F131" s="10" t="s">
        <v>21</v>
      </c>
      <c r="G131" s="10" t="s">
        <v>113</v>
      </c>
      <c r="H131" s="10" t="s">
        <v>115</v>
      </c>
      <c r="I131" s="11" t="s">
        <v>656</v>
      </c>
      <c r="J131" s="10" t="n">
        <f aca="false">IF(COUNTIFS($E$2:E131,E131,$A$2:A131,A131)=1,1,0)</f>
        <v>0</v>
      </c>
    </row>
    <row r="132" customFormat="false" ht="15" hidden="false" customHeight="false" outlineLevel="0" collapsed="false">
      <c r="A132" s="9" t="n">
        <v>46055</v>
      </c>
      <c r="B132" s="10" t="s">
        <v>655</v>
      </c>
      <c r="C132" s="10" t="s">
        <v>666</v>
      </c>
      <c r="D132" s="9" t="n">
        <v>46077</v>
      </c>
      <c r="E132" s="10" t="s">
        <v>20</v>
      </c>
      <c r="F132" s="10" t="s">
        <v>21</v>
      </c>
      <c r="G132" s="10" t="s">
        <v>22</v>
      </c>
      <c r="H132" s="10" t="s">
        <v>24</v>
      </c>
      <c r="I132" s="11" t="s">
        <v>656</v>
      </c>
      <c r="J132" s="10" t="n">
        <f aca="false">IF(COUNTIFS($E$2:E132,E132,$A$2:A132,A132)=1,1,0)</f>
        <v>0</v>
      </c>
    </row>
    <row r="133" customFormat="false" ht="15" hidden="false" customHeight="false" outlineLevel="0" collapsed="false">
      <c r="A133" s="9" t="n">
        <v>46055</v>
      </c>
      <c r="B133" s="10" t="s">
        <v>655</v>
      </c>
      <c r="C133" s="10" t="s">
        <v>93</v>
      </c>
      <c r="D133" s="9" t="n">
        <v>46078</v>
      </c>
      <c r="E133" s="10" t="s">
        <v>92</v>
      </c>
      <c r="F133" s="10" t="s">
        <v>27</v>
      </c>
      <c r="G133" s="10" t="s">
        <v>54</v>
      </c>
      <c r="H133" s="10" t="s">
        <v>667</v>
      </c>
      <c r="I133" s="11" t="s">
        <v>656</v>
      </c>
      <c r="J133" s="10" t="n">
        <f aca="false">IF(COUNTIFS($E$2:E133,E133,$A$2:A133,A133)=1,1,0)</f>
        <v>1</v>
      </c>
    </row>
    <row r="134" customFormat="false" ht="15" hidden="false" customHeight="false" outlineLevel="0" collapsed="false">
      <c r="A134" s="9" t="n">
        <v>46055</v>
      </c>
      <c r="B134" s="10" t="s">
        <v>655</v>
      </c>
      <c r="C134" s="10" t="s">
        <v>649</v>
      </c>
      <c r="D134" s="9" t="n">
        <v>46078</v>
      </c>
      <c r="E134" s="10" t="s">
        <v>66</v>
      </c>
      <c r="F134" s="10" t="s">
        <v>33</v>
      </c>
      <c r="G134" s="10" t="s">
        <v>67</v>
      </c>
      <c r="H134" s="10" t="s">
        <v>69</v>
      </c>
      <c r="I134" s="11" t="s">
        <v>656</v>
      </c>
      <c r="J134" s="10" t="n">
        <f aca="false">IF(COUNTIFS($E$2:E134,E134,$A$2:A134,A134)=1,1,0)</f>
        <v>1</v>
      </c>
    </row>
    <row r="135" customFormat="false" ht="15" hidden="false" customHeight="false" outlineLevel="0" collapsed="false">
      <c r="A135" s="9" t="n">
        <v>46055</v>
      </c>
      <c r="B135" s="10" t="s">
        <v>655</v>
      </c>
      <c r="C135" s="10" t="s">
        <v>668</v>
      </c>
      <c r="D135" s="9" t="n">
        <v>46079</v>
      </c>
      <c r="E135" s="10" t="s">
        <v>96</v>
      </c>
      <c r="F135" s="10" t="s">
        <v>33</v>
      </c>
      <c r="G135" s="10" t="s">
        <v>97</v>
      </c>
      <c r="H135" s="10" t="s">
        <v>99</v>
      </c>
      <c r="I135" s="11" t="s">
        <v>656</v>
      </c>
      <c r="J135" s="10" t="n">
        <f aca="false">IF(COUNTIFS($E$2:E135,E135,$A$2:A135,A135)=1,1,0)</f>
        <v>1</v>
      </c>
    </row>
    <row r="136" customFormat="false" ht="15" hidden="false" customHeight="false" outlineLevel="0" collapsed="false">
      <c r="A136" s="9" t="n">
        <v>46055</v>
      </c>
      <c r="B136" s="10" t="s">
        <v>655</v>
      </c>
      <c r="C136" s="10" t="s">
        <v>669</v>
      </c>
      <c r="D136" s="9" t="n">
        <v>46080</v>
      </c>
      <c r="E136" s="10" t="s">
        <v>26</v>
      </c>
      <c r="F136" s="10" t="s">
        <v>27</v>
      </c>
      <c r="G136" s="10" t="s">
        <v>28</v>
      </c>
      <c r="H136" s="10" t="s">
        <v>670</v>
      </c>
      <c r="I136" s="11" t="s">
        <v>656</v>
      </c>
      <c r="J136" s="10" t="n">
        <f aca="false">IF(COUNTIFS($E$2:E136,E136,$A$2:A136,A136)=1,1,0)</f>
        <v>1</v>
      </c>
    </row>
    <row r="137" customFormat="false" ht="15" hidden="false" customHeight="false" outlineLevel="0" collapsed="false">
      <c r="A137" s="9" t="n">
        <v>46055</v>
      </c>
      <c r="B137" s="10" t="s">
        <v>655</v>
      </c>
      <c r="C137" s="10" t="s">
        <v>671</v>
      </c>
      <c r="D137" s="9" t="n">
        <v>46080</v>
      </c>
      <c r="E137" s="10" t="s">
        <v>32</v>
      </c>
      <c r="F137" s="10" t="s">
        <v>33</v>
      </c>
      <c r="G137" s="10" t="s">
        <v>34</v>
      </c>
      <c r="H137" s="10" t="s">
        <v>36</v>
      </c>
      <c r="I137" s="11" t="s">
        <v>656</v>
      </c>
      <c r="J137" s="10" t="n">
        <f aca="false">IF(COUNTIFS($E$2:E137,E137,$A$2:A137,A137)=1,1,0)</f>
        <v>0</v>
      </c>
    </row>
    <row r="138" customFormat="false" ht="15" hidden="false" customHeight="false" outlineLevel="0" collapsed="false">
      <c r="A138" s="9" t="n">
        <v>46070</v>
      </c>
      <c r="B138" s="10" t="s">
        <v>672</v>
      </c>
      <c r="C138" s="10" t="s">
        <v>673</v>
      </c>
      <c r="D138" s="9" t="n">
        <v>46058</v>
      </c>
      <c r="E138" s="10" t="s">
        <v>20</v>
      </c>
      <c r="F138" s="10" t="s">
        <v>21</v>
      </c>
      <c r="G138" s="10" t="s">
        <v>22</v>
      </c>
      <c r="H138" s="10" t="s">
        <v>24</v>
      </c>
      <c r="I138" s="11" t="s">
        <v>674</v>
      </c>
      <c r="J138" s="10" t="n">
        <f aca="false">IF(COUNTIFS($E$2:E138,E138,$A$2:A138,A138)=1,1,0)</f>
        <v>1</v>
      </c>
    </row>
    <row r="139" customFormat="false" ht="15" hidden="false" customHeight="false" outlineLevel="0" collapsed="false">
      <c r="A139" s="9" t="n">
        <v>46070</v>
      </c>
      <c r="B139" s="10" t="s">
        <v>672</v>
      </c>
      <c r="C139" s="10" t="s">
        <v>604</v>
      </c>
      <c r="D139" s="9" t="n">
        <v>46068</v>
      </c>
      <c r="E139" s="10" t="s">
        <v>20</v>
      </c>
      <c r="F139" s="10" t="s">
        <v>21</v>
      </c>
      <c r="G139" s="10" t="s">
        <v>22</v>
      </c>
      <c r="H139" s="10" t="s">
        <v>24</v>
      </c>
      <c r="I139" s="11" t="s">
        <v>674</v>
      </c>
      <c r="J139" s="10" t="n">
        <f aca="false">IF(COUNTIFS($E$2:E139,E139,$A$2:A139,A139)=1,1,0)</f>
        <v>0</v>
      </c>
    </row>
    <row r="140" customFormat="false" ht="15" hidden="false" customHeight="false" outlineLevel="0" collapsed="false">
      <c r="A140" s="9" t="n">
        <v>46070</v>
      </c>
      <c r="B140" s="10" t="s">
        <v>672</v>
      </c>
      <c r="C140" s="10" t="s">
        <v>675</v>
      </c>
      <c r="D140" s="9" t="n">
        <v>46070</v>
      </c>
      <c r="E140" s="10" t="s">
        <v>203</v>
      </c>
      <c r="F140" s="10" t="s">
        <v>21</v>
      </c>
      <c r="G140" s="10" t="s">
        <v>204</v>
      </c>
      <c r="H140" s="10"/>
      <c r="I140" s="11" t="s">
        <v>674</v>
      </c>
      <c r="J140" s="10" t="n">
        <f aca="false">IF(COUNTIFS($E$2:E140,E140,$A$2:A140,A140)=1,1,0)</f>
        <v>1</v>
      </c>
    </row>
    <row r="141" customFormat="false" ht="15" hidden="false" customHeight="false" outlineLevel="0" collapsed="false">
      <c r="A141" s="9" t="n">
        <v>46070</v>
      </c>
      <c r="B141" s="10" t="s">
        <v>672</v>
      </c>
      <c r="C141" s="10" t="s">
        <v>663</v>
      </c>
      <c r="D141" s="9" t="n">
        <v>46072</v>
      </c>
      <c r="E141" s="10" t="s">
        <v>112</v>
      </c>
      <c r="F141" s="10" t="s">
        <v>21</v>
      </c>
      <c r="G141" s="10" t="s">
        <v>113</v>
      </c>
      <c r="H141" s="10" t="s">
        <v>664</v>
      </c>
      <c r="I141" s="11" t="s">
        <v>674</v>
      </c>
      <c r="J141" s="10" t="n">
        <f aca="false">IF(COUNTIFS($E$2:E141,E141,$A$2:A141,A141)=1,1,0)</f>
        <v>1</v>
      </c>
    </row>
    <row r="142" customFormat="false" ht="15" hidden="false" customHeight="false" outlineLevel="0" collapsed="false">
      <c r="A142" s="9" t="n">
        <v>46070</v>
      </c>
      <c r="B142" s="10" t="s">
        <v>672</v>
      </c>
      <c r="C142" s="10" t="s">
        <v>676</v>
      </c>
      <c r="D142" s="9" t="n">
        <v>46073</v>
      </c>
      <c r="E142" s="10" t="s">
        <v>210</v>
      </c>
      <c r="F142" s="10" t="s">
        <v>177</v>
      </c>
      <c r="G142" s="10" t="s">
        <v>39</v>
      </c>
      <c r="H142" s="10"/>
      <c r="I142" s="11" t="s">
        <v>674</v>
      </c>
      <c r="J142" s="10" t="n">
        <f aca="false">IF(COUNTIFS($E$2:E142,E142,$A$2:A142,A142)=1,1,0)</f>
        <v>1</v>
      </c>
    </row>
    <row r="143" customFormat="false" ht="15" hidden="false" customHeight="false" outlineLevel="0" collapsed="false">
      <c r="A143" s="9" t="n">
        <v>46070</v>
      </c>
      <c r="B143" s="10" t="s">
        <v>672</v>
      </c>
      <c r="C143" s="10" t="s">
        <v>665</v>
      </c>
      <c r="D143" s="9" t="n">
        <v>46073</v>
      </c>
      <c r="E143" s="10" t="s">
        <v>58</v>
      </c>
      <c r="F143" s="10" t="s">
        <v>21</v>
      </c>
      <c r="G143" s="10" t="s">
        <v>39</v>
      </c>
      <c r="H143" s="10" t="s">
        <v>60</v>
      </c>
      <c r="I143" s="11" t="s">
        <v>674</v>
      </c>
      <c r="J143" s="10" t="n">
        <f aca="false">IF(COUNTIFS($E$2:E143,E143,$A$2:A143,A143)=1,1,0)</f>
        <v>1</v>
      </c>
    </row>
    <row r="144" customFormat="false" ht="15" hidden="false" customHeight="false" outlineLevel="0" collapsed="false">
      <c r="A144" s="9" t="n">
        <v>46070</v>
      </c>
      <c r="B144" s="10" t="s">
        <v>672</v>
      </c>
      <c r="C144" s="10" t="s">
        <v>677</v>
      </c>
      <c r="D144" s="9" t="n">
        <v>46075</v>
      </c>
      <c r="E144" s="10" t="s">
        <v>20</v>
      </c>
      <c r="F144" s="10" t="s">
        <v>21</v>
      </c>
      <c r="G144" s="10" t="s">
        <v>22</v>
      </c>
      <c r="H144" s="10" t="s">
        <v>678</v>
      </c>
      <c r="I144" s="11" t="s">
        <v>674</v>
      </c>
      <c r="J144" s="10" t="n">
        <f aca="false">IF(COUNTIFS($E$2:E144,E144,$A$2:A144,A144)=1,1,0)</f>
        <v>0</v>
      </c>
    </row>
    <row r="145" customFormat="false" ht="15" hidden="false" customHeight="false" outlineLevel="0" collapsed="false">
      <c r="A145" s="9" t="n">
        <v>46070</v>
      </c>
      <c r="B145" s="10" t="s">
        <v>672</v>
      </c>
      <c r="C145" s="10" t="s">
        <v>644</v>
      </c>
      <c r="D145" s="9" t="n">
        <v>46075</v>
      </c>
      <c r="E145" s="10" t="s">
        <v>48</v>
      </c>
      <c r="F145" s="10" t="s">
        <v>33</v>
      </c>
      <c r="G145" s="10" t="s">
        <v>49</v>
      </c>
      <c r="H145" s="10" t="s">
        <v>51</v>
      </c>
      <c r="I145" s="11" t="s">
        <v>674</v>
      </c>
      <c r="J145" s="10" t="n">
        <f aca="false">IF(COUNTIFS($E$2:E145,E145,$A$2:A145,A145)=1,1,0)</f>
        <v>1</v>
      </c>
    </row>
    <row r="146" customFormat="false" ht="15" hidden="false" customHeight="false" outlineLevel="0" collapsed="false">
      <c r="A146" s="9" t="n">
        <v>46070</v>
      </c>
      <c r="B146" s="10" t="s">
        <v>672</v>
      </c>
      <c r="C146" s="10" t="s">
        <v>114</v>
      </c>
      <c r="D146" s="9" t="n">
        <v>46077</v>
      </c>
      <c r="E146" s="10" t="s">
        <v>112</v>
      </c>
      <c r="F146" s="10" t="s">
        <v>21</v>
      </c>
      <c r="G146" s="10" t="s">
        <v>113</v>
      </c>
      <c r="H146" s="10" t="s">
        <v>115</v>
      </c>
      <c r="I146" s="11" t="s">
        <v>674</v>
      </c>
      <c r="J146" s="10" t="n">
        <f aca="false">IF(COUNTIFS($E$2:E146,E146,$A$2:A146,A146)=1,1,0)</f>
        <v>0</v>
      </c>
    </row>
    <row r="147" customFormat="false" ht="15" hidden="false" customHeight="false" outlineLevel="0" collapsed="false">
      <c r="A147" s="9" t="n">
        <v>46070</v>
      </c>
      <c r="B147" s="10" t="s">
        <v>672</v>
      </c>
      <c r="C147" s="10" t="s">
        <v>666</v>
      </c>
      <c r="D147" s="9" t="n">
        <v>46077</v>
      </c>
      <c r="E147" s="10" t="s">
        <v>20</v>
      </c>
      <c r="F147" s="10" t="s">
        <v>21</v>
      </c>
      <c r="G147" s="10" t="s">
        <v>22</v>
      </c>
      <c r="H147" s="10" t="s">
        <v>24</v>
      </c>
      <c r="I147" s="11" t="s">
        <v>674</v>
      </c>
      <c r="J147" s="10" t="n">
        <f aca="false">IF(COUNTIFS($E$2:E147,E147,$A$2:A147,A147)=1,1,0)</f>
        <v>0</v>
      </c>
    </row>
    <row r="148" customFormat="false" ht="15" hidden="false" customHeight="false" outlineLevel="0" collapsed="false">
      <c r="A148" s="9" t="n">
        <v>46070</v>
      </c>
      <c r="B148" s="10" t="s">
        <v>672</v>
      </c>
      <c r="C148" s="10" t="s">
        <v>93</v>
      </c>
      <c r="D148" s="9" t="n">
        <v>46078</v>
      </c>
      <c r="E148" s="10" t="s">
        <v>92</v>
      </c>
      <c r="F148" s="10" t="s">
        <v>27</v>
      </c>
      <c r="G148" s="10" t="s">
        <v>54</v>
      </c>
      <c r="H148" s="10" t="s">
        <v>667</v>
      </c>
      <c r="I148" s="11" t="s">
        <v>674</v>
      </c>
      <c r="J148" s="10" t="n">
        <f aca="false">IF(COUNTIFS($E$2:E148,E148,$A$2:A148,A148)=1,1,0)</f>
        <v>1</v>
      </c>
    </row>
    <row r="149" customFormat="false" ht="15" hidden="false" customHeight="false" outlineLevel="0" collapsed="false">
      <c r="A149" s="9" t="n">
        <v>46070</v>
      </c>
      <c r="B149" s="10" t="s">
        <v>672</v>
      </c>
      <c r="C149" s="10" t="s">
        <v>649</v>
      </c>
      <c r="D149" s="9" t="n">
        <v>46078</v>
      </c>
      <c r="E149" s="10" t="s">
        <v>66</v>
      </c>
      <c r="F149" s="10" t="s">
        <v>33</v>
      </c>
      <c r="G149" s="10" t="s">
        <v>67</v>
      </c>
      <c r="H149" s="10" t="s">
        <v>69</v>
      </c>
      <c r="I149" s="11" t="s">
        <v>674</v>
      </c>
      <c r="J149" s="10" t="n">
        <f aca="false">IF(COUNTIFS($E$2:E149,E149,$A$2:A149,A149)=1,1,0)</f>
        <v>1</v>
      </c>
    </row>
    <row r="150" customFormat="false" ht="15" hidden="false" customHeight="false" outlineLevel="0" collapsed="false">
      <c r="A150" s="9" t="n">
        <v>46070</v>
      </c>
      <c r="B150" s="10" t="s">
        <v>672</v>
      </c>
      <c r="C150" s="10" t="s">
        <v>668</v>
      </c>
      <c r="D150" s="9" t="n">
        <v>46079</v>
      </c>
      <c r="E150" s="10" t="s">
        <v>96</v>
      </c>
      <c r="F150" s="10" t="s">
        <v>33</v>
      </c>
      <c r="G150" s="10" t="s">
        <v>97</v>
      </c>
      <c r="H150" s="10" t="s">
        <v>99</v>
      </c>
      <c r="I150" s="11" t="s">
        <v>674</v>
      </c>
      <c r="J150" s="10" t="n">
        <f aca="false">IF(COUNTIFS($E$2:E150,E150,$A$2:A150,A150)=1,1,0)</f>
        <v>1</v>
      </c>
    </row>
    <row r="151" customFormat="false" ht="15" hidden="false" customHeight="false" outlineLevel="0" collapsed="false">
      <c r="A151" s="9" t="n">
        <v>46070</v>
      </c>
      <c r="B151" s="10" t="s">
        <v>672</v>
      </c>
      <c r="C151" s="10" t="s">
        <v>669</v>
      </c>
      <c r="D151" s="9" t="n">
        <v>46080</v>
      </c>
      <c r="E151" s="10" t="s">
        <v>26</v>
      </c>
      <c r="F151" s="10" t="s">
        <v>27</v>
      </c>
      <c r="G151" s="10" t="s">
        <v>28</v>
      </c>
      <c r="H151" s="10" t="s">
        <v>670</v>
      </c>
      <c r="I151" s="11" t="s">
        <v>674</v>
      </c>
      <c r="J151" s="10" t="n">
        <f aca="false">IF(COUNTIFS($E$2:E151,E151,$A$2:A151,A151)=1,1,0)</f>
        <v>1</v>
      </c>
    </row>
    <row r="152" customFormat="false" ht="15" hidden="false" customHeight="false" outlineLevel="0" collapsed="false">
      <c r="A152" s="9" t="n">
        <v>46070</v>
      </c>
      <c r="B152" s="10" t="s">
        <v>672</v>
      </c>
      <c r="C152" s="10" t="s">
        <v>641</v>
      </c>
      <c r="D152" s="9" t="n">
        <v>46082</v>
      </c>
      <c r="E152" s="10" t="s">
        <v>106</v>
      </c>
      <c r="F152" s="10" t="s">
        <v>107</v>
      </c>
      <c r="G152" s="10" t="s">
        <v>108</v>
      </c>
      <c r="H152" s="10" t="s">
        <v>110</v>
      </c>
      <c r="I152" s="11" t="s">
        <v>674</v>
      </c>
      <c r="J152" s="10" t="n">
        <f aca="false">IF(COUNTIFS($E$2:E152,E152,$A$2:A152,A152)=1,1,0)</f>
        <v>1</v>
      </c>
    </row>
    <row r="153" customFormat="false" ht="15" hidden="false" customHeight="false" outlineLevel="0" collapsed="false">
      <c r="A153" s="9" t="n">
        <v>46083</v>
      </c>
      <c r="B153" s="10" t="s">
        <v>679</v>
      </c>
      <c r="C153" s="10" t="s">
        <v>680</v>
      </c>
      <c r="D153" s="9" t="n">
        <v>46082</v>
      </c>
      <c r="E153" s="10" t="s">
        <v>206</v>
      </c>
      <c r="F153" s="10" t="s">
        <v>21</v>
      </c>
      <c r="G153" s="10" t="s">
        <v>207</v>
      </c>
      <c r="H153" s="10"/>
      <c r="I153" s="11" t="s">
        <v>681</v>
      </c>
      <c r="J153" s="10" t="n">
        <f aca="false">IF(COUNTIFS($E$2:E153,E153,$A$2:A153,A153)=1,1,0)</f>
        <v>1</v>
      </c>
    </row>
    <row r="154" customFormat="false" ht="15" hidden="false" customHeight="false" outlineLevel="0" collapsed="false">
      <c r="A154" s="9" t="n">
        <v>46083</v>
      </c>
      <c r="B154" s="10" t="s">
        <v>679</v>
      </c>
      <c r="C154" s="10" t="s">
        <v>682</v>
      </c>
      <c r="D154" s="9" t="n">
        <v>46082</v>
      </c>
      <c r="E154" s="10" t="s">
        <v>106</v>
      </c>
      <c r="F154" s="10" t="s">
        <v>107</v>
      </c>
      <c r="G154" s="10" t="s">
        <v>108</v>
      </c>
      <c r="H154" s="10" t="s">
        <v>110</v>
      </c>
      <c r="I154" s="11" t="s">
        <v>681</v>
      </c>
      <c r="J154" s="10" t="n">
        <f aca="false">IF(COUNTIFS($E$2:E154,E154,$A$2:A154,A154)=1,1,0)</f>
        <v>1</v>
      </c>
    </row>
    <row r="155" customFormat="false" ht="15" hidden="false" customHeight="false" outlineLevel="0" collapsed="false">
      <c r="A155" s="9" t="n">
        <v>46083</v>
      </c>
      <c r="B155" s="10" t="s">
        <v>679</v>
      </c>
      <c r="C155" s="10" t="s">
        <v>683</v>
      </c>
      <c r="D155" s="9" t="n">
        <v>46083</v>
      </c>
      <c r="E155" s="10" t="s">
        <v>58</v>
      </c>
      <c r="F155" s="10" t="s">
        <v>21</v>
      </c>
      <c r="G155" s="10" t="s">
        <v>39</v>
      </c>
      <c r="H155" s="10" t="s">
        <v>401</v>
      </c>
      <c r="I155" s="11" t="s">
        <v>681</v>
      </c>
      <c r="J155" s="10" t="n">
        <f aca="false">IF(COUNTIFS($E$2:E155,E155,$A$2:A155,A155)=1,1,0)</f>
        <v>1</v>
      </c>
    </row>
    <row r="156" customFormat="false" ht="15" hidden="false" customHeight="false" outlineLevel="0" collapsed="false">
      <c r="A156" s="9" t="n">
        <v>46083</v>
      </c>
      <c r="B156" s="10" t="s">
        <v>679</v>
      </c>
      <c r="C156" s="10" t="s">
        <v>475</v>
      </c>
      <c r="D156" s="9" t="n">
        <v>46084</v>
      </c>
      <c r="E156" s="10" t="s">
        <v>474</v>
      </c>
      <c r="F156" s="10" t="s">
        <v>21</v>
      </c>
      <c r="G156" s="10" t="s">
        <v>142</v>
      </c>
      <c r="H156" s="10"/>
      <c r="I156" s="11" t="s">
        <v>681</v>
      </c>
      <c r="J156" s="10" t="n">
        <f aca="false">IF(COUNTIFS($E$2:E156,E156,$A$2:A156,A156)=1,1,0)</f>
        <v>1</v>
      </c>
    </row>
    <row r="157" customFormat="false" ht="15" hidden="false" customHeight="false" outlineLevel="0" collapsed="false">
      <c r="A157" s="9" t="n">
        <v>46083</v>
      </c>
      <c r="B157" s="10" t="s">
        <v>679</v>
      </c>
      <c r="C157" s="10" t="s">
        <v>184</v>
      </c>
      <c r="D157" s="9" t="n">
        <v>46084</v>
      </c>
      <c r="E157" s="10" t="s">
        <v>182</v>
      </c>
      <c r="F157" s="10" t="s">
        <v>154</v>
      </c>
      <c r="G157" s="10" t="s">
        <v>183</v>
      </c>
      <c r="H157" s="10" t="s">
        <v>185</v>
      </c>
      <c r="I157" s="11" t="s">
        <v>681</v>
      </c>
      <c r="J157" s="10" t="n">
        <f aca="false">IF(COUNTIFS($E$2:E157,E157,$A$2:A157,A157)=1,1,0)</f>
        <v>1</v>
      </c>
    </row>
    <row r="158" customFormat="false" ht="15" hidden="false" customHeight="false" outlineLevel="0" collapsed="false">
      <c r="A158" s="9" t="n">
        <v>46083</v>
      </c>
      <c r="B158" s="10" t="s">
        <v>679</v>
      </c>
      <c r="C158" s="10" t="s">
        <v>684</v>
      </c>
      <c r="D158" s="9" t="n">
        <v>46084</v>
      </c>
      <c r="E158" s="10" t="s">
        <v>137</v>
      </c>
      <c r="F158" s="10" t="s">
        <v>33</v>
      </c>
      <c r="G158" s="10" t="s">
        <v>138</v>
      </c>
      <c r="H158" s="10" t="s">
        <v>41</v>
      </c>
      <c r="I158" s="11" t="s">
        <v>681</v>
      </c>
      <c r="J158" s="10" t="n">
        <f aca="false">IF(COUNTIFS($E$2:E158,E158,$A$2:A158,A158)=1,1,0)</f>
        <v>1</v>
      </c>
    </row>
    <row r="159" customFormat="false" ht="15" hidden="false" customHeight="false" outlineLevel="0" collapsed="false">
      <c r="A159" s="9" t="n">
        <v>46083</v>
      </c>
      <c r="B159" s="10" t="s">
        <v>679</v>
      </c>
      <c r="C159" s="10" t="s">
        <v>676</v>
      </c>
      <c r="D159" s="9" t="n">
        <v>46086</v>
      </c>
      <c r="E159" s="10" t="s">
        <v>235</v>
      </c>
      <c r="F159" s="10" t="s">
        <v>21</v>
      </c>
      <c r="G159" s="10" t="s">
        <v>39</v>
      </c>
      <c r="H159" s="10" t="s">
        <v>685</v>
      </c>
      <c r="I159" s="11" t="s">
        <v>681</v>
      </c>
      <c r="J159" s="10" t="n">
        <f aca="false">IF(COUNTIFS($E$2:E159,E159,$A$2:A159,A159)=1,1,0)</f>
        <v>1</v>
      </c>
    </row>
    <row r="160" customFormat="false" ht="15" hidden="false" customHeight="false" outlineLevel="0" collapsed="false">
      <c r="A160" s="9" t="n">
        <v>46083</v>
      </c>
      <c r="B160" s="10" t="s">
        <v>679</v>
      </c>
      <c r="C160" s="10" t="s">
        <v>657</v>
      </c>
      <c r="D160" s="9" t="n">
        <v>46086</v>
      </c>
      <c r="E160" s="10" t="s">
        <v>20</v>
      </c>
      <c r="F160" s="10" t="s">
        <v>21</v>
      </c>
      <c r="G160" s="10" t="s">
        <v>22</v>
      </c>
      <c r="H160" s="10" t="s">
        <v>24</v>
      </c>
      <c r="I160" s="11" t="s">
        <v>681</v>
      </c>
      <c r="J160" s="10" t="n">
        <f aca="false">IF(COUNTIFS($E$2:E160,E160,$A$2:A160,A160)=1,1,0)</f>
        <v>1</v>
      </c>
    </row>
    <row r="161" customFormat="false" ht="15" hidden="false" customHeight="false" outlineLevel="0" collapsed="false">
      <c r="A161" s="9" t="n">
        <v>46083</v>
      </c>
      <c r="B161" s="10" t="s">
        <v>679</v>
      </c>
      <c r="C161" s="10" t="s">
        <v>686</v>
      </c>
      <c r="D161" s="9" t="n">
        <v>46088</v>
      </c>
      <c r="E161" s="10" t="s">
        <v>129</v>
      </c>
      <c r="F161" s="10" t="s">
        <v>87</v>
      </c>
      <c r="G161" s="10" t="s">
        <v>54</v>
      </c>
      <c r="H161" s="10" t="s">
        <v>687</v>
      </c>
      <c r="I161" s="11" t="s">
        <v>681</v>
      </c>
      <c r="J161" s="10" t="n">
        <f aca="false">IF(COUNTIFS($E$2:E161,E161,$A$2:A161,A161)=1,1,0)</f>
        <v>1</v>
      </c>
    </row>
    <row r="162" customFormat="false" ht="15" hidden="false" customHeight="false" outlineLevel="0" collapsed="false">
      <c r="A162" s="9" t="n">
        <v>46083</v>
      </c>
      <c r="B162" s="10" t="s">
        <v>679</v>
      </c>
      <c r="C162" s="10" t="s">
        <v>688</v>
      </c>
      <c r="D162" s="9" t="n">
        <v>46088</v>
      </c>
      <c r="E162" s="10" t="s">
        <v>48</v>
      </c>
      <c r="F162" s="10" t="s">
        <v>33</v>
      </c>
      <c r="G162" s="10" t="s">
        <v>49</v>
      </c>
      <c r="H162" s="10" t="s">
        <v>215</v>
      </c>
      <c r="I162" s="11" t="s">
        <v>681</v>
      </c>
      <c r="J162" s="10" t="n">
        <f aca="false">IF(COUNTIFS($E$2:E162,E162,$A$2:A162,A162)=1,1,0)</f>
        <v>1</v>
      </c>
    </row>
    <row r="163" customFormat="false" ht="15" hidden="false" customHeight="false" outlineLevel="0" collapsed="false">
      <c r="A163" s="9" t="n">
        <v>46083</v>
      </c>
      <c r="B163" s="10" t="s">
        <v>679</v>
      </c>
      <c r="C163" s="10" t="s">
        <v>689</v>
      </c>
      <c r="D163" s="9" t="n">
        <v>46089</v>
      </c>
      <c r="E163" s="10" t="s">
        <v>252</v>
      </c>
      <c r="F163" s="10" t="s">
        <v>33</v>
      </c>
      <c r="G163" s="10" t="s">
        <v>253</v>
      </c>
      <c r="H163" s="10" t="s">
        <v>215</v>
      </c>
      <c r="I163" s="11" t="s">
        <v>681</v>
      </c>
      <c r="J163" s="10" t="n">
        <f aca="false">IF(COUNTIFS($E$2:E163,E163,$A$2:A163,A163)=1,1,0)</f>
        <v>1</v>
      </c>
    </row>
    <row r="164" customFormat="false" ht="15" hidden="false" customHeight="false" outlineLevel="0" collapsed="false">
      <c r="A164" s="9" t="n">
        <v>46083</v>
      </c>
      <c r="B164" s="10" t="s">
        <v>679</v>
      </c>
      <c r="C164" s="10" t="s">
        <v>456</v>
      </c>
      <c r="D164" s="9" t="n">
        <v>46091</v>
      </c>
      <c r="E164" s="10" t="s">
        <v>455</v>
      </c>
      <c r="F164" s="10" t="s">
        <v>21</v>
      </c>
      <c r="G164" s="10" t="s">
        <v>217</v>
      </c>
      <c r="H164" s="10"/>
      <c r="I164" s="11" t="s">
        <v>681</v>
      </c>
      <c r="J164" s="10" t="n">
        <f aca="false">IF(COUNTIFS($E$2:E164,E164,$A$2:A164,A164)=1,1,0)</f>
        <v>1</v>
      </c>
    </row>
    <row r="165" customFormat="false" ht="15" hidden="false" customHeight="false" outlineLevel="0" collapsed="false">
      <c r="A165" s="9" t="n">
        <v>46083</v>
      </c>
      <c r="B165" s="10" t="s">
        <v>679</v>
      </c>
      <c r="C165" s="10" t="s">
        <v>461</v>
      </c>
      <c r="D165" s="9" t="n">
        <v>46091</v>
      </c>
      <c r="E165" s="10" t="s">
        <v>460</v>
      </c>
      <c r="F165" s="10" t="s">
        <v>21</v>
      </c>
      <c r="G165" s="10" t="s">
        <v>155</v>
      </c>
      <c r="H165" s="10" t="s">
        <v>462</v>
      </c>
      <c r="I165" s="11" t="s">
        <v>681</v>
      </c>
      <c r="J165" s="10" t="n">
        <f aca="false">IF(COUNTIFS($E$2:E165,E165,$A$2:A165,A165)=1,1,0)</f>
        <v>1</v>
      </c>
    </row>
    <row r="166" customFormat="false" ht="15" hidden="false" customHeight="false" outlineLevel="0" collapsed="false">
      <c r="A166" s="9" t="n">
        <v>46083</v>
      </c>
      <c r="B166" s="10" t="s">
        <v>679</v>
      </c>
      <c r="C166" s="10" t="s">
        <v>494</v>
      </c>
      <c r="D166" s="9" t="n">
        <v>46091</v>
      </c>
      <c r="E166" s="10" t="s">
        <v>492</v>
      </c>
      <c r="F166" s="10" t="s">
        <v>282</v>
      </c>
      <c r="G166" s="10" t="s">
        <v>493</v>
      </c>
      <c r="H166" s="10" t="s">
        <v>495</v>
      </c>
      <c r="I166" s="11" t="s">
        <v>681</v>
      </c>
      <c r="J166" s="10" t="n">
        <f aca="false">IF(COUNTIFS($E$2:E166,E166,$A$2:A166,A166)=1,1,0)</f>
        <v>1</v>
      </c>
    </row>
    <row r="167" customFormat="false" ht="15" hidden="false" customHeight="false" outlineLevel="0" collapsed="false">
      <c r="A167" s="9" t="n">
        <v>46083</v>
      </c>
      <c r="B167" s="10" t="s">
        <v>679</v>
      </c>
      <c r="C167" s="10" t="s">
        <v>690</v>
      </c>
      <c r="D167" s="9" t="n">
        <v>46092</v>
      </c>
      <c r="E167" s="10" t="s">
        <v>53</v>
      </c>
      <c r="F167" s="10" t="s">
        <v>15</v>
      </c>
      <c r="G167" s="10" t="s">
        <v>54</v>
      </c>
      <c r="H167" s="10" t="s">
        <v>215</v>
      </c>
      <c r="I167" s="11" t="s">
        <v>681</v>
      </c>
      <c r="J167" s="10" t="n">
        <f aca="false">IF(COUNTIFS($E$2:E167,E167,$A$2:A167,A167)=1,1,0)</f>
        <v>1</v>
      </c>
    </row>
    <row r="168" customFormat="false" ht="15" hidden="false" customHeight="false" outlineLevel="0" collapsed="false">
      <c r="A168" s="9" t="n">
        <v>46083</v>
      </c>
      <c r="B168" s="10" t="s">
        <v>679</v>
      </c>
      <c r="C168" s="10" t="s">
        <v>691</v>
      </c>
      <c r="D168" s="9" t="n">
        <v>46093</v>
      </c>
      <c r="E168" s="10" t="s">
        <v>43</v>
      </c>
      <c r="F168" s="10" t="s">
        <v>44</v>
      </c>
      <c r="G168" s="10" t="s">
        <v>45</v>
      </c>
      <c r="H168" s="10" t="s">
        <v>692</v>
      </c>
      <c r="I168" s="11" t="s">
        <v>681</v>
      </c>
      <c r="J168" s="10" t="n">
        <f aca="false">IF(COUNTIFS($E$2:E168,E168,$A$2:A168,A168)=1,1,0)</f>
        <v>1</v>
      </c>
    </row>
    <row r="169" customFormat="false" ht="15" hidden="false" customHeight="false" outlineLevel="0" collapsed="false">
      <c r="A169" s="9" t="n">
        <v>46083</v>
      </c>
      <c r="B169" s="10" t="s">
        <v>679</v>
      </c>
      <c r="C169" s="10" t="s">
        <v>693</v>
      </c>
      <c r="D169" s="9" t="n">
        <v>46094</v>
      </c>
      <c r="E169" s="10" t="s">
        <v>14</v>
      </c>
      <c r="F169" s="10" t="s">
        <v>15</v>
      </c>
      <c r="G169" s="10" t="s">
        <v>16</v>
      </c>
      <c r="H169" s="10"/>
      <c r="I169" s="11" t="s">
        <v>681</v>
      </c>
      <c r="J169" s="10" t="n">
        <f aca="false">IF(COUNTIFS($E$2:E169,E169,$A$2:A169,A169)=1,1,0)</f>
        <v>1</v>
      </c>
    </row>
    <row r="170" customFormat="false" ht="15" hidden="false" customHeight="false" outlineLevel="0" collapsed="false">
      <c r="A170" s="9" t="n">
        <v>46083</v>
      </c>
      <c r="B170" s="10" t="s">
        <v>679</v>
      </c>
      <c r="C170" s="10" t="s">
        <v>643</v>
      </c>
      <c r="D170" s="9" t="n">
        <v>46095</v>
      </c>
      <c r="E170" s="10" t="s">
        <v>32</v>
      </c>
      <c r="F170" s="10" t="s">
        <v>33</v>
      </c>
      <c r="G170" s="10" t="s">
        <v>34</v>
      </c>
      <c r="H170" s="10" t="s">
        <v>36</v>
      </c>
      <c r="I170" s="11" t="s">
        <v>681</v>
      </c>
      <c r="J170" s="10" t="n">
        <f aca="false">IF(COUNTIFS($E$2:E170,E170,$A$2:A170,A170)=1,1,0)</f>
        <v>1</v>
      </c>
    </row>
    <row r="171" customFormat="false" ht="15" hidden="false" customHeight="false" outlineLevel="0" collapsed="false">
      <c r="A171" s="9" t="n">
        <v>46083</v>
      </c>
      <c r="B171" s="10" t="s">
        <v>679</v>
      </c>
      <c r="C171" s="10" t="s">
        <v>661</v>
      </c>
      <c r="D171" s="9" t="n">
        <v>46097</v>
      </c>
      <c r="E171" s="10" t="s">
        <v>20</v>
      </c>
      <c r="F171" s="10" t="s">
        <v>21</v>
      </c>
      <c r="G171" s="10" t="s">
        <v>22</v>
      </c>
      <c r="H171" s="10" t="s">
        <v>24</v>
      </c>
      <c r="I171" s="11" t="s">
        <v>681</v>
      </c>
      <c r="J171" s="10" t="n">
        <f aca="false">IF(COUNTIFS($E$2:E171,E171,$A$2:A171,A171)=1,1,0)</f>
        <v>0</v>
      </c>
    </row>
    <row r="172" customFormat="false" ht="15" hidden="false" customHeight="false" outlineLevel="0" collapsed="false">
      <c r="A172" s="9" t="n">
        <v>46083</v>
      </c>
      <c r="B172" s="10" t="s">
        <v>679</v>
      </c>
      <c r="C172" s="10" t="s">
        <v>694</v>
      </c>
      <c r="D172" s="9" t="n">
        <v>46099</v>
      </c>
      <c r="E172" s="10" t="s">
        <v>255</v>
      </c>
      <c r="F172" s="10" t="s">
        <v>33</v>
      </c>
      <c r="G172" s="10" t="s">
        <v>256</v>
      </c>
      <c r="H172" s="10"/>
      <c r="I172" s="11" t="s">
        <v>681</v>
      </c>
      <c r="J172" s="10" t="n">
        <f aca="false">IF(COUNTIFS($E$2:E172,E172,$A$2:A172,A172)=1,1,0)</f>
        <v>1</v>
      </c>
    </row>
    <row r="173" customFormat="false" ht="15" hidden="false" customHeight="false" outlineLevel="0" collapsed="false">
      <c r="A173" s="9" t="n">
        <v>46083</v>
      </c>
      <c r="B173" s="10" t="s">
        <v>679</v>
      </c>
      <c r="C173" s="10" t="s">
        <v>695</v>
      </c>
      <c r="D173" s="9" t="n">
        <v>46100</v>
      </c>
      <c r="E173" s="10" t="s">
        <v>26</v>
      </c>
      <c r="F173" s="10" t="s">
        <v>27</v>
      </c>
      <c r="G173" s="10" t="s">
        <v>28</v>
      </c>
      <c r="H173" s="10" t="s">
        <v>30</v>
      </c>
      <c r="I173" s="11" t="s">
        <v>681</v>
      </c>
      <c r="J173" s="10" t="n">
        <f aca="false">IF(COUNTIFS($E$2:E173,E173,$A$2:A173,A173)=1,1,0)</f>
        <v>1</v>
      </c>
    </row>
    <row r="174" customFormat="false" ht="15" hidden="false" customHeight="false" outlineLevel="0" collapsed="false">
      <c r="A174" s="9" t="n">
        <v>46083</v>
      </c>
      <c r="B174" s="10" t="s">
        <v>679</v>
      </c>
      <c r="C174" s="10" t="s">
        <v>696</v>
      </c>
      <c r="D174" s="9" t="n">
        <v>46101</v>
      </c>
      <c r="E174" s="10" t="s">
        <v>96</v>
      </c>
      <c r="F174" s="10" t="s">
        <v>33</v>
      </c>
      <c r="G174" s="10" t="s">
        <v>97</v>
      </c>
      <c r="H174" s="10" t="s">
        <v>99</v>
      </c>
      <c r="I174" s="11" t="s">
        <v>681</v>
      </c>
      <c r="J174" s="10" t="n">
        <f aca="false">IF(COUNTIFS($E$2:E174,E174,$A$2:A174,A174)=1,1,0)</f>
        <v>1</v>
      </c>
    </row>
    <row r="175" customFormat="false" ht="15" hidden="false" customHeight="false" outlineLevel="0" collapsed="false">
      <c r="A175" s="9" t="n">
        <v>46083</v>
      </c>
      <c r="B175" s="10" t="s">
        <v>679</v>
      </c>
      <c r="C175" s="10" t="s">
        <v>697</v>
      </c>
      <c r="D175" s="9" t="n">
        <v>46102</v>
      </c>
      <c r="E175" s="10" t="s">
        <v>71</v>
      </c>
      <c r="F175" s="10" t="s">
        <v>27</v>
      </c>
      <c r="G175" s="10" t="s">
        <v>72</v>
      </c>
      <c r="H175" s="10" t="s">
        <v>84</v>
      </c>
      <c r="I175" s="11" t="s">
        <v>681</v>
      </c>
      <c r="J175" s="10" t="n">
        <f aca="false">IF(COUNTIFS($E$2:E175,E175,$A$2:A175,A175)=1,1,0)</f>
        <v>1</v>
      </c>
    </row>
    <row r="176" customFormat="false" ht="15" hidden="false" customHeight="false" outlineLevel="0" collapsed="false">
      <c r="A176" s="9" t="n">
        <v>46083</v>
      </c>
      <c r="B176" s="10" t="s">
        <v>679</v>
      </c>
      <c r="C176" s="10" t="s">
        <v>666</v>
      </c>
      <c r="D176" s="9" t="n">
        <v>46105</v>
      </c>
      <c r="E176" s="10" t="s">
        <v>20</v>
      </c>
      <c r="F176" s="10" t="s">
        <v>21</v>
      </c>
      <c r="G176" s="10" t="s">
        <v>22</v>
      </c>
      <c r="H176" s="10" t="s">
        <v>24</v>
      </c>
      <c r="I176" s="11" t="s">
        <v>681</v>
      </c>
      <c r="J176" s="10" t="n">
        <f aca="false">IF(COUNTIFS($E$2:E176,E176,$A$2:A176,A176)=1,1,0)</f>
        <v>0</v>
      </c>
    </row>
    <row r="177" customFormat="false" ht="15" hidden="false" customHeight="false" outlineLevel="0" collapsed="false">
      <c r="A177" s="9" t="n">
        <v>46083</v>
      </c>
      <c r="B177" s="10" t="s">
        <v>679</v>
      </c>
      <c r="C177" s="10" t="s">
        <v>649</v>
      </c>
      <c r="D177" s="9" t="n">
        <v>46106</v>
      </c>
      <c r="E177" s="10" t="s">
        <v>66</v>
      </c>
      <c r="F177" s="10" t="s">
        <v>33</v>
      </c>
      <c r="G177" s="10" t="s">
        <v>67</v>
      </c>
      <c r="H177" s="10" t="s">
        <v>69</v>
      </c>
      <c r="I177" s="11" t="s">
        <v>681</v>
      </c>
      <c r="J177" s="10" t="n">
        <f aca="false">IF(COUNTIFS($E$2:E177,E177,$A$2:A177,A177)=1,1,0)</f>
        <v>1</v>
      </c>
    </row>
    <row r="178" customFormat="false" ht="15" hidden="false" customHeight="false" outlineLevel="0" collapsed="false">
      <c r="A178" s="9" t="n">
        <v>46083</v>
      </c>
      <c r="B178" s="10" t="s">
        <v>679</v>
      </c>
      <c r="C178" s="10" t="s">
        <v>669</v>
      </c>
      <c r="D178" s="9" t="n">
        <v>46108</v>
      </c>
      <c r="E178" s="10" t="s">
        <v>26</v>
      </c>
      <c r="F178" s="10" t="s">
        <v>27</v>
      </c>
      <c r="G178" s="10" t="s">
        <v>28</v>
      </c>
      <c r="H178" s="10" t="s">
        <v>670</v>
      </c>
      <c r="I178" s="11" t="s">
        <v>681</v>
      </c>
      <c r="J178" s="10" t="n">
        <f aca="false">IF(COUNTIFS($E$2:E178,E178,$A$2:A178,A178)=1,1,0)</f>
        <v>0</v>
      </c>
    </row>
    <row r="179" customFormat="false" ht="15" hidden="false" customHeight="false" outlineLevel="0" collapsed="false">
      <c r="A179" s="9" t="n">
        <v>46083</v>
      </c>
      <c r="B179" s="10" t="s">
        <v>679</v>
      </c>
      <c r="C179" s="10" t="s">
        <v>644</v>
      </c>
      <c r="D179" s="9" t="n">
        <v>46110</v>
      </c>
      <c r="E179" s="10" t="s">
        <v>48</v>
      </c>
      <c r="F179" s="10" t="s">
        <v>33</v>
      </c>
      <c r="G179" s="10" t="s">
        <v>49</v>
      </c>
      <c r="H179" s="10" t="s">
        <v>51</v>
      </c>
      <c r="I179" s="11" t="s">
        <v>681</v>
      </c>
      <c r="J179" s="10" t="n">
        <f aca="false">IF(COUNTIFS($E$2:E179,E179,$A$2:A179,A179)=1,1,0)</f>
        <v>0</v>
      </c>
    </row>
    <row r="180" customFormat="false" ht="15" hidden="false" customHeight="false" outlineLevel="0" collapsed="false">
      <c r="A180" s="9" t="n">
        <v>46083</v>
      </c>
      <c r="B180" s="10" t="s">
        <v>679</v>
      </c>
      <c r="C180" s="10" t="s">
        <v>114</v>
      </c>
      <c r="D180" s="9" t="n">
        <v>46112</v>
      </c>
      <c r="E180" s="10" t="s">
        <v>112</v>
      </c>
      <c r="F180" s="10" t="s">
        <v>21</v>
      </c>
      <c r="G180" s="10" t="s">
        <v>113</v>
      </c>
      <c r="H180" s="10" t="s">
        <v>115</v>
      </c>
      <c r="I180" s="11" t="s">
        <v>681</v>
      </c>
      <c r="J180" s="10" t="n">
        <f aca="false">IF(COUNTIFS($E$2:E180,E180,$A$2:A180,A180)=1,1,0)</f>
        <v>1</v>
      </c>
    </row>
    <row r="181" customFormat="false" ht="15" hidden="false" customHeight="false" outlineLevel="0" collapsed="false">
      <c r="A181" s="9" t="n">
        <v>46083</v>
      </c>
      <c r="B181" s="10" t="s">
        <v>679</v>
      </c>
      <c r="C181" s="10" t="s">
        <v>698</v>
      </c>
      <c r="D181" s="9" t="n">
        <v>46112</v>
      </c>
      <c r="E181" s="10" t="s">
        <v>86</v>
      </c>
      <c r="F181" s="10" t="s">
        <v>87</v>
      </c>
      <c r="G181" s="10" t="s">
        <v>88</v>
      </c>
      <c r="H181" s="10"/>
      <c r="I181" s="11" t="s">
        <v>681</v>
      </c>
      <c r="J181" s="10" t="n">
        <f aca="false">IF(COUNTIFS($E$2:E181,E181,$A$2:A181,A181)=1,1,0)</f>
        <v>1</v>
      </c>
    </row>
    <row r="182" customFormat="false" ht="15" hidden="false" customHeight="false" outlineLevel="0" collapsed="false">
      <c r="A182" s="9" t="n">
        <v>46099</v>
      </c>
      <c r="B182" s="10" t="s">
        <v>699</v>
      </c>
      <c r="C182" s="10" t="s">
        <v>673</v>
      </c>
      <c r="D182" s="9" t="n">
        <v>46086</v>
      </c>
      <c r="E182" s="10" t="s">
        <v>20</v>
      </c>
      <c r="F182" s="10" t="s">
        <v>21</v>
      </c>
      <c r="G182" s="10" t="s">
        <v>22</v>
      </c>
      <c r="H182" s="10" t="s">
        <v>24</v>
      </c>
      <c r="I182" s="11" t="s">
        <v>700</v>
      </c>
      <c r="J182" s="10" t="n">
        <f aca="false">IF(COUNTIFS($E$2:E182,E182,$A$2:A182,A182)=1,1,0)</f>
        <v>1</v>
      </c>
    </row>
    <row r="183" customFormat="false" ht="15" hidden="false" customHeight="false" outlineLevel="0" collapsed="false">
      <c r="A183" s="9" t="n">
        <v>46099</v>
      </c>
      <c r="B183" s="10" t="s">
        <v>699</v>
      </c>
      <c r="C183" s="10" t="s">
        <v>604</v>
      </c>
      <c r="D183" s="9" t="n">
        <v>46097</v>
      </c>
      <c r="E183" s="10" t="s">
        <v>20</v>
      </c>
      <c r="F183" s="10" t="s">
        <v>21</v>
      </c>
      <c r="G183" s="10" t="s">
        <v>22</v>
      </c>
      <c r="H183" s="10" t="s">
        <v>24</v>
      </c>
      <c r="I183" s="11" t="s">
        <v>700</v>
      </c>
      <c r="J183" s="10" t="n">
        <f aca="false">IF(COUNTIFS($E$2:E183,E183,$A$2:A183,A183)=1,1,0)</f>
        <v>0</v>
      </c>
    </row>
    <row r="184" customFormat="false" ht="15" hidden="false" customHeight="false" outlineLevel="0" collapsed="false">
      <c r="A184" s="9" t="n">
        <v>46099</v>
      </c>
      <c r="B184" s="10" t="s">
        <v>699</v>
      </c>
      <c r="C184" s="10" t="s">
        <v>695</v>
      </c>
      <c r="D184" s="9" t="n">
        <v>46100</v>
      </c>
      <c r="E184" s="10" t="s">
        <v>26</v>
      </c>
      <c r="F184" s="10" t="s">
        <v>27</v>
      </c>
      <c r="G184" s="10" t="s">
        <v>28</v>
      </c>
      <c r="H184" s="10" t="s">
        <v>30</v>
      </c>
      <c r="I184" s="11" t="s">
        <v>700</v>
      </c>
      <c r="J184" s="10" t="n">
        <f aca="false">IF(COUNTIFS($E$2:E184,E184,$A$2:A184,A184)=1,1,0)</f>
        <v>1</v>
      </c>
    </row>
    <row r="185" customFormat="false" ht="15" hidden="false" customHeight="false" outlineLevel="0" collapsed="false">
      <c r="A185" s="9" t="n">
        <v>46099</v>
      </c>
      <c r="B185" s="10" t="s">
        <v>699</v>
      </c>
      <c r="C185" s="10" t="s">
        <v>477</v>
      </c>
      <c r="D185" s="9" t="n">
        <v>46101</v>
      </c>
      <c r="E185" s="10" t="s">
        <v>476</v>
      </c>
      <c r="F185" s="10" t="s">
        <v>15</v>
      </c>
      <c r="G185" s="10" t="s">
        <v>405</v>
      </c>
      <c r="H185" s="10" t="s">
        <v>41</v>
      </c>
      <c r="I185" s="11" t="s">
        <v>700</v>
      </c>
      <c r="J185" s="10" t="n">
        <f aca="false">IF(COUNTIFS($E$2:E185,E185,$A$2:A185,A185)=1,1,0)</f>
        <v>1</v>
      </c>
    </row>
    <row r="186" customFormat="false" ht="15" hidden="false" customHeight="false" outlineLevel="0" collapsed="false">
      <c r="A186" s="9" t="n">
        <v>46099</v>
      </c>
      <c r="B186" s="10" t="s">
        <v>699</v>
      </c>
      <c r="C186" s="10" t="s">
        <v>696</v>
      </c>
      <c r="D186" s="9" t="n">
        <v>46101</v>
      </c>
      <c r="E186" s="10" t="s">
        <v>96</v>
      </c>
      <c r="F186" s="10" t="s">
        <v>33</v>
      </c>
      <c r="G186" s="10" t="s">
        <v>97</v>
      </c>
      <c r="H186" s="10" t="s">
        <v>99</v>
      </c>
      <c r="I186" s="11" t="s">
        <v>700</v>
      </c>
      <c r="J186" s="10" t="n">
        <f aca="false">IF(COUNTIFS($E$2:E186,E186,$A$2:A186,A186)=1,1,0)</f>
        <v>1</v>
      </c>
    </row>
    <row r="187" customFormat="false" ht="15" hidden="false" customHeight="false" outlineLevel="0" collapsed="false">
      <c r="A187" s="9" t="n">
        <v>46099</v>
      </c>
      <c r="B187" s="10" t="s">
        <v>699</v>
      </c>
      <c r="C187" s="10" t="s">
        <v>93</v>
      </c>
      <c r="D187" s="9" t="n">
        <v>46106</v>
      </c>
      <c r="E187" s="10" t="s">
        <v>92</v>
      </c>
      <c r="F187" s="10" t="s">
        <v>27</v>
      </c>
      <c r="G187" s="10" t="s">
        <v>54</v>
      </c>
      <c r="H187" s="10" t="s">
        <v>94</v>
      </c>
      <c r="I187" s="11" t="s">
        <v>700</v>
      </c>
      <c r="J187" s="10" t="n">
        <f aca="false">IF(COUNTIFS($E$2:E187,E187,$A$2:A187,A187)=1,1,0)</f>
        <v>1</v>
      </c>
    </row>
    <row r="188" customFormat="false" ht="15" hidden="false" customHeight="false" outlineLevel="0" collapsed="false">
      <c r="A188" s="9" t="n">
        <v>46099</v>
      </c>
      <c r="B188" s="10" t="s">
        <v>699</v>
      </c>
      <c r="C188" s="10" t="s">
        <v>701</v>
      </c>
      <c r="D188" s="9" t="n">
        <v>46106</v>
      </c>
      <c r="E188" s="10" t="s">
        <v>20</v>
      </c>
      <c r="F188" s="10" t="s">
        <v>21</v>
      </c>
      <c r="G188" s="10" t="s">
        <v>22</v>
      </c>
      <c r="H188" s="10" t="s">
        <v>24</v>
      </c>
      <c r="I188" s="11" t="s">
        <v>700</v>
      </c>
      <c r="J188" s="10" t="n">
        <f aca="false">IF(COUNTIFS($E$2:E188,E188,$A$2:A188,A188)=1,1,0)</f>
        <v>0</v>
      </c>
    </row>
    <row r="189" customFormat="false" ht="15" hidden="false" customHeight="false" outlineLevel="0" collapsed="false">
      <c r="A189" s="9" t="n">
        <v>46099</v>
      </c>
      <c r="B189" s="10" t="s">
        <v>699</v>
      </c>
      <c r="C189" s="10" t="s">
        <v>649</v>
      </c>
      <c r="D189" s="9" t="n">
        <v>46106</v>
      </c>
      <c r="E189" s="10" t="s">
        <v>66</v>
      </c>
      <c r="F189" s="10" t="s">
        <v>33</v>
      </c>
      <c r="G189" s="10" t="s">
        <v>67</v>
      </c>
      <c r="H189" s="10" t="s">
        <v>69</v>
      </c>
      <c r="I189" s="11" t="s">
        <v>700</v>
      </c>
      <c r="J189" s="10" t="n">
        <f aca="false">IF(COUNTIFS($E$2:E189,E189,$A$2:A189,A189)=1,1,0)</f>
        <v>1</v>
      </c>
    </row>
    <row r="190" customFormat="false" ht="15" hidden="false" customHeight="false" outlineLevel="0" collapsed="false">
      <c r="A190" s="9" t="n">
        <v>46099</v>
      </c>
      <c r="B190" s="10" t="s">
        <v>699</v>
      </c>
      <c r="C190" s="10" t="s">
        <v>697</v>
      </c>
      <c r="D190" s="9" t="n">
        <v>46107</v>
      </c>
      <c r="E190" s="10" t="s">
        <v>81</v>
      </c>
      <c r="F190" s="10" t="s">
        <v>15</v>
      </c>
      <c r="G190" s="10" t="s">
        <v>82</v>
      </c>
      <c r="H190" s="10" t="s">
        <v>84</v>
      </c>
      <c r="I190" s="11" t="s">
        <v>700</v>
      </c>
      <c r="J190" s="10" t="n">
        <f aca="false">IF(COUNTIFS($E$2:E190,E190,$A$2:A190,A190)=1,1,0)</f>
        <v>1</v>
      </c>
    </row>
    <row r="191" customFormat="false" ht="15" hidden="false" customHeight="false" outlineLevel="0" collapsed="false">
      <c r="A191" s="9" t="n">
        <v>46099</v>
      </c>
      <c r="B191" s="10" t="s">
        <v>699</v>
      </c>
      <c r="C191" s="10" t="s">
        <v>669</v>
      </c>
      <c r="D191" s="9" t="n">
        <v>46108</v>
      </c>
      <c r="E191" s="10" t="s">
        <v>26</v>
      </c>
      <c r="F191" s="10" t="s">
        <v>27</v>
      </c>
      <c r="G191" s="10" t="s">
        <v>28</v>
      </c>
      <c r="H191" s="10" t="s">
        <v>670</v>
      </c>
      <c r="I191" s="11" t="s">
        <v>700</v>
      </c>
      <c r="J191" s="10" t="n">
        <f aca="false">IF(COUNTIFS($E$2:E191,E191,$A$2:A191,A191)=1,1,0)</f>
        <v>0</v>
      </c>
    </row>
    <row r="192" customFormat="false" ht="15" hidden="false" customHeight="false" outlineLevel="0" collapsed="false">
      <c r="A192" s="9" t="n">
        <v>46099</v>
      </c>
      <c r="B192" s="10" t="s">
        <v>699</v>
      </c>
      <c r="C192" s="10" t="s">
        <v>702</v>
      </c>
      <c r="D192" s="9" t="n">
        <v>46110</v>
      </c>
      <c r="E192" s="10" t="s">
        <v>43</v>
      </c>
      <c r="F192" s="10" t="s">
        <v>44</v>
      </c>
      <c r="G192" s="10" t="s">
        <v>45</v>
      </c>
      <c r="H192" s="10" t="s">
        <v>703</v>
      </c>
      <c r="I192" s="11" t="s">
        <v>700</v>
      </c>
      <c r="J192" s="10" t="n">
        <f aca="false">IF(COUNTIFS($E$2:E192,E192,$A$2:A192,A192)=1,1,0)</f>
        <v>1</v>
      </c>
    </row>
    <row r="193" customFormat="false" ht="15" hidden="false" customHeight="false" outlineLevel="0" collapsed="false">
      <c r="A193" s="9" t="n">
        <v>46099</v>
      </c>
      <c r="B193" s="10" t="s">
        <v>699</v>
      </c>
      <c r="C193" s="10" t="s">
        <v>644</v>
      </c>
      <c r="D193" s="9" t="n">
        <v>46110</v>
      </c>
      <c r="E193" s="10" t="s">
        <v>48</v>
      </c>
      <c r="F193" s="10" t="s">
        <v>33</v>
      </c>
      <c r="G193" s="10" t="s">
        <v>49</v>
      </c>
      <c r="H193" s="10" t="s">
        <v>51</v>
      </c>
      <c r="I193" s="11" t="s">
        <v>700</v>
      </c>
      <c r="J193" s="10" t="n">
        <f aca="false">IF(COUNTIFS($E$2:E193,E193,$A$2:A193,A193)=1,1,0)</f>
        <v>1</v>
      </c>
    </row>
    <row r="194" customFormat="false" ht="15" hidden="false" customHeight="false" outlineLevel="0" collapsed="false">
      <c r="A194" s="9" t="n">
        <v>46099</v>
      </c>
      <c r="B194" s="10" t="s">
        <v>699</v>
      </c>
      <c r="C194" s="10" t="s">
        <v>698</v>
      </c>
      <c r="D194" s="9" t="n">
        <v>46112</v>
      </c>
      <c r="E194" s="10" t="s">
        <v>86</v>
      </c>
      <c r="F194" s="10" t="s">
        <v>87</v>
      </c>
      <c r="G194" s="10" t="s">
        <v>88</v>
      </c>
      <c r="H194" s="10"/>
      <c r="I194" s="11" t="s">
        <v>700</v>
      </c>
      <c r="J194" s="10" t="n">
        <f aca="false">IF(COUNTIFS($E$2:E194,E194,$A$2:A194,A194)=1,1,0)</f>
        <v>1</v>
      </c>
    </row>
    <row r="195" customFormat="false" ht="15" hidden="false" customHeight="false" outlineLevel="0" collapsed="false">
      <c r="A195" s="9" t="n">
        <v>46099</v>
      </c>
      <c r="B195" s="10" t="s">
        <v>699</v>
      </c>
      <c r="C195" s="10" t="s">
        <v>704</v>
      </c>
      <c r="D195" s="9" t="n">
        <v>46113</v>
      </c>
      <c r="E195" s="10" t="s">
        <v>26</v>
      </c>
      <c r="F195" s="10" t="s">
        <v>27</v>
      </c>
      <c r="G195" s="10" t="s">
        <v>28</v>
      </c>
      <c r="H195" s="10" t="s">
        <v>24</v>
      </c>
      <c r="I195" s="11" t="s">
        <v>700</v>
      </c>
      <c r="J195" s="10" t="n">
        <f aca="false">IF(COUNTIFS($E$2:E195,E195,$A$2:A195,A195)=1,1,0)</f>
        <v>0</v>
      </c>
    </row>
    <row r="196" customFormat="false" ht="15" hidden="false" customHeight="false" outlineLevel="0" collapsed="false">
      <c r="A196" s="9" t="n">
        <v>46099</v>
      </c>
      <c r="B196" s="10" t="s">
        <v>699</v>
      </c>
      <c r="C196" s="10" t="s">
        <v>561</v>
      </c>
      <c r="D196" s="9" t="n">
        <v>46113</v>
      </c>
      <c r="E196" s="10" t="s">
        <v>560</v>
      </c>
      <c r="F196" s="10" t="s">
        <v>15</v>
      </c>
      <c r="G196" s="10" t="s">
        <v>377</v>
      </c>
      <c r="H196" s="10" t="s">
        <v>562</v>
      </c>
      <c r="I196" s="11" t="s">
        <v>700</v>
      </c>
      <c r="J196" s="10" t="n">
        <f aca="false">IF(COUNTIFS($E$2:E196,E196,$A$2:A196,A196)=1,1,0)</f>
        <v>1</v>
      </c>
    </row>
    <row r="197" customFormat="false" ht="15" hidden="false" customHeight="false" outlineLevel="0" collapsed="false">
      <c r="A197" s="9" t="n">
        <v>46099</v>
      </c>
      <c r="B197" s="10" t="s">
        <v>699</v>
      </c>
      <c r="C197" s="10" t="s">
        <v>705</v>
      </c>
      <c r="D197" s="9" t="n">
        <v>46118</v>
      </c>
      <c r="E197" s="10" t="s">
        <v>58</v>
      </c>
      <c r="F197" s="10" t="s">
        <v>21</v>
      </c>
      <c r="G197" s="10" t="s">
        <v>39</v>
      </c>
      <c r="H197" s="10" t="s">
        <v>401</v>
      </c>
      <c r="I197" s="11" t="s">
        <v>700</v>
      </c>
      <c r="J197" s="10" t="n">
        <f aca="false">IF(COUNTIFS($E$2:E197,E197,$A$2:A197,A197)=1,1,0)</f>
        <v>1</v>
      </c>
    </row>
    <row r="198" customFormat="false" ht="15" hidden="false" customHeight="false" outlineLevel="0" collapsed="false">
      <c r="A198" s="9" t="n">
        <v>46099</v>
      </c>
      <c r="B198" s="10" t="s">
        <v>699</v>
      </c>
      <c r="C198" s="10" t="s">
        <v>706</v>
      </c>
      <c r="D198" s="9" t="n">
        <v>46119</v>
      </c>
      <c r="E198" s="10" t="s">
        <v>86</v>
      </c>
      <c r="F198" s="10" t="s">
        <v>87</v>
      </c>
      <c r="G198" s="10" t="s">
        <v>88</v>
      </c>
      <c r="H198" s="10"/>
      <c r="I198" s="11" t="s">
        <v>700</v>
      </c>
      <c r="J198" s="10" t="n">
        <f aca="false">IF(COUNTIFS($E$2:E198,E198,$A$2:A198,A198)=1,1,0)</f>
        <v>0</v>
      </c>
    </row>
    <row r="199" customFormat="false" ht="15" hidden="false" customHeight="false" outlineLevel="0" collapsed="false">
      <c r="A199" s="9" t="n">
        <v>46099</v>
      </c>
      <c r="B199" s="10" t="s">
        <v>699</v>
      </c>
      <c r="C199" s="10" t="s">
        <v>665</v>
      </c>
      <c r="D199" s="9" t="n">
        <v>46122</v>
      </c>
      <c r="E199" s="10" t="s">
        <v>58</v>
      </c>
      <c r="F199" s="10" t="s">
        <v>21</v>
      </c>
      <c r="G199" s="10" t="s">
        <v>39</v>
      </c>
      <c r="H199" s="10" t="s">
        <v>60</v>
      </c>
      <c r="I199" s="11" t="s">
        <v>700</v>
      </c>
      <c r="J199" s="10" t="n">
        <f aca="false">IF(COUNTIFS($E$2:E199,E199,$A$2:A199,A199)=1,1,0)</f>
        <v>0</v>
      </c>
    </row>
    <row r="200" customFormat="false" ht="15" hidden="false" customHeight="false" outlineLevel="0" collapsed="false">
      <c r="A200" s="9" t="n">
        <v>46114</v>
      </c>
      <c r="B200" s="10" t="s">
        <v>707</v>
      </c>
      <c r="C200" s="10" t="s">
        <v>708</v>
      </c>
      <c r="D200" s="9" t="n">
        <v>46113</v>
      </c>
      <c r="E200" s="10" t="s">
        <v>26</v>
      </c>
      <c r="F200" s="10" t="s">
        <v>27</v>
      </c>
      <c r="G200" s="10" t="s">
        <v>28</v>
      </c>
      <c r="H200" s="10" t="s">
        <v>24</v>
      </c>
      <c r="I200" s="11" t="s">
        <v>709</v>
      </c>
      <c r="J200" s="10" t="n">
        <f aca="false">IF(COUNTIFS($E$2:E200,E200,$A$2:A200,A200)=1,1,0)</f>
        <v>1</v>
      </c>
    </row>
    <row r="201" customFormat="false" ht="15" hidden="false" customHeight="false" outlineLevel="0" collapsed="false">
      <c r="A201" s="9" t="n">
        <v>46114</v>
      </c>
      <c r="B201" s="10" t="s">
        <v>707</v>
      </c>
      <c r="C201" s="10" t="s">
        <v>673</v>
      </c>
      <c r="D201" s="9" t="n">
        <v>46114</v>
      </c>
      <c r="E201" s="10" t="s">
        <v>20</v>
      </c>
      <c r="F201" s="10" t="s">
        <v>21</v>
      </c>
      <c r="G201" s="10" t="s">
        <v>22</v>
      </c>
      <c r="H201" s="10" t="s">
        <v>24</v>
      </c>
      <c r="I201" s="11" t="s">
        <v>709</v>
      </c>
      <c r="J201" s="10" t="n">
        <f aca="false">IF(COUNTIFS($E$2:E201,E201,$A$2:A201,A201)=1,1,0)</f>
        <v>1</v>
      </c>
    </row>
    <row r="202" customFormat="false" ht="15" hidden="false" customHeight="false" outlineLevel="0" collapsed="false">
      <c r="A202" s="9" t="n">
        <v>46114</v>
      </c>
      <c r="B202" s="10" t="s">
        <v>707</v>
      </c>
      <c r="C202" s="10" t="s">
        <v>550</v>
      </c>
      <c r="D202" s="9" t="n">
        <v>46115</v>
      </c>
      <c r="E202" s="10" t="s">
        <v>548</v>
      </c>
      <c r="F202" s="10" t="s">
        <v>154</v>
      </c>
      <c r="G202" s="10" t="s">
        <v>549</v>
      </c>
      <c r="H202" s="10" t="s">
        <v>215</v>
      </c>
      <c r="I202" s="11" t="s">
        <v>709</v>
      </c>
      <c r="J202" s="10" t="n">
        <f aca="false">IF(COUNTIFS($E$2:E202,E202,$A$2:A202,A202)=1,1,0)</f>
        <v>1</v>
      </c>
    </row>
    <row r="203" customFormat="false" ht="15" hidden="false" customHeight="false" outlineLevel="0" collapsed="false">
      <c r="A203" s="9" t="n">
        <v>46114</v>
      </c>
      <c r="B203" s="10" t="s">
        <v>707</v>
      </c>
      <c r="C203" s="10" t="s">
        <v>705</v>
      </c>
      <c r="D203" s="9" t="n">
        <v>46118</v>
      </c>
      <c r="E203" s="10" t="s">
        <v>58</v>
      </c>
      <c r="F203" s="10" t="s">
        <v>21</v>
      </c>
      <c r="G203" s="10" t="s">
        <v>39</v>
      </c>
      <c r="H203" s="10" t="s">
        <v>401</v>
      </c>
      <c r="I203" s="11" t="s">
        <v>709</v>
      </c>
      <c r="J203" s="10" t="n">
        <f aca="false">IF(COUNTIFS($E$2:E203,E203,$A$2:A203,A203)=1,1,0)</f>
        <v>1</v>
      </c>
    </row>
    <row r="204" customFormat="false" ht="15" hidden="false" customHeight="false" outlineLevel="0" collapsed="false">
      <c r="A204" s="9" t="n">
        <v>46114</v>
      </c>
      <c r="B204" s="10" t="s">
        <v>707</v>
      </c>
      <c r="C204" s="10" t="s">
        <v>706</v>
      </c>
      <c r="D204" s="9" t="n">
        <v>46119</v>
      </c>
      <c r="E204" s="10" t="s">
        <v>203</v>
      </c>
      <c r="F204" s="10" t="s">
        <v>21</v>
      </c>
      <c r="G204" s="10" t="s">
        <v>204</v>
      </c>
      <c r="H204" s="10"/>
      <c r="I204" s="11" t="s">
        <v>709</v>
      </c>
      <c r="J204" s="10" t="n">
        <f aca="false">IF(COUNTIFS($E$2:E204,E204,$A$2:A204,A204)=1,1,0)</f>
        <v>1</v>
      </c>
    </row>
    <row r="205" customFormat="false" ht="15" hidden="false" customHeight="false" outlineLevel="0" collapsed="false">
      <c r="A205" s="9" t="n">
        <v>46114</v>
      </c>
      <c r="B205" s="10" t="s">
        <v>707</v>
      </c>
      <c r="C205" s="10" t="s">
        <v>710</v>
      </c>
      <c r="D205" s="9" t="n">
        <v>46121</v>
      </c>
      <c r="E205" s="10" t="s">
        <v>20</v>
      </c>
      <c r="F205" s="10" t="s">
        <v>21</v>
      </c>
      <c r="G205" s="10" t="s">
        <v>22</v>
      </c>
      <c r="H205" s="10" t="s">
        <v>24</v>
      </c>
      <c r="I205" s="11" t="s">
        <v>709</v>
      </c>
      <c r="J205" s="10" t="n">
        <f aca="false">IF(COUNTIFS($E$2:E205,E205,$A$2:A205,A205)=1,1,0)</f>
        <v>0</v>
      </c>
    </row>
    <row r="206" customFormat="false" ht="15" hidden="false" customHeight="false" outlineLevel="0" collapsed="false">
      <c r="A206" s="9" t="n">
        <v>46114</v>
      </c>
      <c r="B206" s="10" t="s">
        <v>707</v>
      </c>
      <c r="C206" s="10" t="s">
        <v>665</v>
      </c>
      <c r="D206" s="9" t="n">
        <v>46122</v>
      </c>
      <c r="E206" s="10" t="s">
        <v>58</v>
      </c>
      <c r="F206" s="10" t="s">
        <v>21</v>
      </c>
      <c r="G206" s="10" t="s">
        <v>39</v>
      </c>
      <c r="H206" s="10" t="s">
        <v>60</v>
      </c>
      <c r="I206" s="11" t="s">
        <v>709</v>
      </c>
      <c r="J206" s="10" t="n">
        <f aca="false">IF(COUNTIFS($E$2:E206,E206,$A$2:A206,A206)=1,1,0)</f>
        <v>0</v>
      </c>
    </row>
    <row r="207" customFormat="false" ht="15" hidden="false" customHeight="false" outlineLevel="0" collapsed="false">
      <c r="A207" s="9" t="n">
        <v>46114</v>
      </c>
      <c r="B207" s="10" t="s">
        <v>707</v>
      </c>
      <c r="C207" s="10" t="s">
        <v>711</v>
      </c>
      <c r="D207" s="9" t="n">
        <v>46123</v>
      </c>
      <c r="E207" s="10" t="s">
        <v>43</v>
      </c>
      <c r="F207" s="10" t="s">
        <v>44</v>
      </c>
      <c r="G207" s="10" t="s">
        <v>45</v>
      </c>
      <c r="H207" s="10" t="s">
        <v>18</v>
      </c>
      <c r="I207" s="11" t="s">
        <v>709</v>
      </c>
      <c r="J207" s="10" t="n">
        <f aca="false">IF(COUNTIFS($E$2:E207,E207,$A$2:A207,A207)=1,1,0)</f>
        <v>1</v>
      </c>
    </row>
    <row r="208" customFormat="false" ht="15" hidden="false" customHeight="false" outlineLevel="0" collapsed="false">
      <c r="A208" s="9" t="n">
        <v>46114</v>
      </c>
      <c r="B208" s="10" t="s">
        <v>707</v>
      </c>
      <c r="C208" s="10" t="s">
        <v>192</v>
      </c>
      <c r="D208" s="9" t="n">
        <v>46123</v>
      </c>
      <c r="E208" s="10" t="s">
        <v>189</v>
      </c>
      <c r="F208" s="10" t="s">
        <v>190</v>
      </c>
      <c r="G208" s="10" t="s">
        <v>191</v>
      </c>
      <c r="H208" s="10" t="s">
        <v>193</v>
      </c>
      <c r="I208" s="11" t="s">
        <v>709</v>
      </c>
      <c r="J208" s="10" t="n">
        <f aca="false">IF(COUNTIFS($E$2:E208,E208,$A$2:A208,A208)=1,1,0)</f>
        <v>1</v>
      </c>
    </row>
    <row r="209" customFormat="false" ht="15" hidden="false" customHeight="false" outlineLevel="0" collapsed="false">
      <c r="A209" s="9" t="n">
        <v>46114</v>
      </c>
      <c r="B209" s="10" t="s">
        <v>707</v>
      </c>
      <c r="C209" s="10" t="s">
        <v>604</v>
      </c>
      <c r="D209" s="9" t="n">
        <v>46123</v>
      </c>
      <c r="E209" s="10" t="s">
        <v>20</v>
      </c>
      <c r="F209" s="10" t="s">
        <v>21</v>
      </c>
      <c r="G209" s="10" t="s">
        <v>22</v>
      </c>
      <c r="H209" s="10" t="s">
        <v>24</v>
      </c>
      <c r="I209" s="11" t="s">
        <v>709</v>
      </c>
      <c r="J209" s="10" t="n">
        <f aca="false">IF(COUNTIFS($E$2:E209,E209,$A$2:A209,A209)=1,1,0)</f>
        <v>0</v>
      </c>
    </row>
    <row r="210" customFormat="false" ht="15" hidden="false" customHeight="false" outlineLevel="0" collapsed="false">
      <c r="A210" s="9" t="n">
        <v>46114</v>
      </c>
      <c r="B210" s="10" t="s">
        <v>707</v>
      </c>
      <c r="C210" s="10" t="s">
        <v>712</v>
      </c>
      <c r="D210" s="9" t="n">
        <v>46124</v>
      </c>
      <c r="E210" s="10" t="s">
        <v>71</v>
      </c>
      <c r="F210" s="10" t="s">
        <v>27</v>
      </c>
      <c r="G210" s="10" t="s">
        <v>72</v>
      </c>
      <c r="H210" s="10" t="s">
        <v>84</v>
      </c>
      <c r="I210" s="11" t="s">
        <v>709</v>
      </c>
      <c r="J210" s="10" t="n">
        <f aca="false">IF(COUNTIFS($E$2:E210,E210,$A$2:A210,A210)=1,1,0)</f>
        <v>1</v>
      </c>
    </row>
    <row r="211" customFormat="false" ht="15" hidden="false" customHeight="false" outlineLevel="0" collapsed="false">
      <c r="A211" s="9" t="n">
        <v>46114</v>
      </c>
      <c r="B211" s="10" t="s">
        <v>707</v>
      </c>
      <c r="C211" s="10" t="s">
        <v>109</v>
      </c>
      <c r="D211" s="9" t="n">
        <v>46124</v>
      </c>
      <c r="E211" s="10" t="s">
        <v>106</v>
      </c>
      <c r="F211" s="10" t="s">
        <v>107</v>
      </c>
      <c r="G211" s="10" t="s">
        <v>108</v>
      </c>
      <c r="H211" s="10" t="s">
        <v>110</v>
      </c>
      <c r="I211" s="11" t="s">
        <v>709</v>
      </c>
      <c r="J211" s="10" t="n">
        <f aca="false">IF(COUNTIFS($E$2:E211,E211,$A$2:A211,A211)=1,1,0)</f>
        <v>1</v>
      </c>
    </row>
    <row r="212" customFormat="false" ht="15" hidden="false" customHeight="false" outlineLevel="0" collapsed="false">
      <c r="A212" s="9" t="n">
        <v>46114</v>
      </c>
      <c r="B212" s="10" t="s">
        <v>707</v>
      </c>
      <c r="C212" s="10" t="s">
        <v>514</v>
      </c>
      <c r="D212" s="9" t="n">
        <v>46126</v>
      </c>
      <c r="E212" s="10" t="s">
        <v>513</v>
      </c>
      <c r="F212" s="10" t="s">
        <v>107</v>
      </c>
      <c r="G212" s="10" t="s">
        <v>498</v>
      </c>
      <c r="H212" s="10" t="s">
        <v>36</v>
      </c>
      <c r="I212" s="11" t="s">
        <v>709</v>
      </c>
      <c r="J212" s="10" t="n">
        <f aca="false">IF(COUNTIFS($E$2:E212,E212,$A$2:A212,A212)=1,1,0)</f>
        <v>1</v>
      </c>
    </row>
    <row r="213" customFormat="false" ht="15" hidden="false" customHeight="false" outlineLevel="0" collapsed="false">
      <c r="A213" s="9" t="n">
        <v>46114</v>
      </c>
      <c r="B213" s="10" t="s">
        <v>707</v>
      </c>
      <c r="C213" s="10" t="s">
        <v>713</v>
      </c>
      <c r="D213" s="9" t="n">
        <v>46126</v>
      </c>
      <c r="E213" s="10" t="s">
        <v>141</v>
      </c>
      <c r="F213" s="10" t="s">
        <v>107</v>
      </c>
      <c r="G213" s="10" t="s">
        <v>142</v>
      </c>
      <c r="H213" s="10" t="s">
        <v>714</v>
      </c>
      <c r="I213" s="11" t="s">
        <v>709</v>
      </c>
      <c r="J213" s="10" t="n">
        <f aca="false">IF(COUNTIFS($E$2:E213,E213,$A$2:A213,A213)=1,1,0)</f>
        <v>1</v>
      </c>
    </row>
    <row r="214" customFormat="false" ht="15" hidden="false" customHeight="false" outlineLevel="0" collapsed="false">
      <c r="A214" s="9" t="n">
        <v>46114</v>
      </c>
      <c r="B214" s="10" t="s">
        <v>707</v>
      </c>
      <c r="C214" s="10" t="s">
        <v>715</v>
      </c>
      <c r="D214" s="9" t="n">
        <v>46128</v>
      </c>
      <c r="E214" s="10" t="s">
        <v>26</v>
      </c>
      <c r="F214" s="10" t="s">
        <v>27</v>
      </c>
      <c r="G214" s="10" t="s">
        <v>28</v>
      </c>
      <c r="H214" s="10" t="s">
        <v>30</v>
      </c>
      <c r="I214" s="11" t="s">
        <v>709</v>
      </c>
      <c r="J214" s="10" t="n">
        <f aca="false">IF(COUNTIFS($E$2:E214,E214,$A$2:A214,A214)=1,1,0)</f>
        <v>0</v>
      </c>
    </row>
    <row r="215" customFormat="false" ht="15" hidden="false" customHeight="false" outlineLevel="0" collapsed="false">
      <c r="A215" s="9" t="n">
        <v>46114</v>
      </c>
      <c r="B215" s="10" t="s">
        <v>707</v>
      </c>
      <c r="C215" s="10" t="s">
        <v>716</v>
      </c>
      <c r="D215" s="9" t="n">
        <v>46129</v>
      </c>
      <c r="E215" s="10" t="s">
        <v>14</v>
      </c>
      <c r="F215" s="10" t="s">
        <v>15</v>
      </c>
      <c r="G215" s="10" t="s">
        <v>16</v>
      </c>
      <c r="H215" s="10" t="s">
        <v>18</v>
      </c>
      <c r="I215" s="11" t="s">
        <v>709</v>
      </c>
      <c r="J215" s="10" t="n">
        <f aca="false">IF(COUNTIFS($E$2:E215,E215,$A$2:A215,A215)=1,1,0)</f>
        <v>1</v>
      </c>
    </row>
    <row r="216" customFormat="false" ht="15" hidden="false" customHeight="false" outlineLevel="0" collapsed="false">
      <c r="A216" s="9" t="n">
        <v>46114</v>
      </c>
      <c r="B216" s="10" t="s">
        <v>707</v>
      </c>
      <c r="C216" s="10" t="s">
        <v>211</v>
      </c>
      <c r="D216" s="9" t="n">
        <v>46130</v>
      </c>
      <c r="E216" s="10" t="s">
        <v>210</v>
      </c>
      <c r="F216" s="10" t="s">
        <v>177</v>
      </c>
      <c r="G216" s="10" t="s">
        <v>39</v>
      </c>
      <c r="H216" s="10"/>
      <c r="I216" s="11" t="s">
        <v>709</v>
      </c>
      <c r="J216" s="10" t="n">
        <f aca="false">IF(COUNTIFS($E$2:E216,E216,$A$2:A216,A216)=1,1,0)</f>
        <v>1</v>
      </c>
    </row>
    <row r="217" customFormat="false" ht="15" hidden="false" customHeight="false" outlineLevel="0" collapsed="false">
      <c r="A217" s="9" t="n">
        <v>46114</v>
      </c>
      <c r="B217" s="10" t="s">
        <v>707</v>
      </c>
      <c r="C217" s="10" t="s">
        <v>717</v>
      </c>
      <c r="D217" s="9" t="n">
        <v>46130</v>
      </c>
      <c r="E217" s="10" t="s">
        <v>153</v>
      </c>
      <c r="F217" s="10" t="s">
        <v>154</v>
      </c>
      <c r="G217" s="10" t="s">
        <v>155</v>
      </c>
      <c r="H217" s="10" t="s">
        <v>718</v>
      </c>
      <c r="I217" s="11" t="s">
        <v>709</v>
      </c>
      <c r="J217" s="10" t="n">
        <f aca="false">IF(COUNTIFS($E$2:E217,E217,$A$2:A217,A217)=1,1,0)</f>
        <v>1</v>
      </c>
    </row>
    <row r="218" customFormat="false" ht="15" hidden="false" customHeight="false" outlineLevel="0" collapsed="false">
      <c r="A218" s="9" t="n">
        <v>46114</v>
      </c>
      <c r="B218" s="10" t="s">
        <v>707</v>
      </c>
      <c r="C218" s="10" t="s">
        <v>701</v>
      </c>
      <c r="D218" s="9" t="n">
        <v>46132</v>
      </c>
      <c r="E218" s="10" t="s">
        <v>20</v>
      </c>
      <c r="F218" s="10" t="s">
        <v>21</v>
      </c>
      <c r="G218" s="10" t="s">
        <v>22</v>
      </c>
      <c r="H218" s="10" t="s">
        <v>24</v>
      </c>
      <c r="I218" s="11" t="s">
        <v>709</v>
      </c>
      <c r="J218" s="10" t="n">
        <f aca="false">IF(COUNTIFS($E$2:E218,E218,$A$2:A218,A218)=1,1,0)</f>
        <v>0</v>
      </c>
    </row>
    <row r="219" customFormat="false" ht="15" hidden="false" customHeight="false" outlineLevel="0" collapsed="false">
      <c r="A219" s="9" t="n">
        <v>46114</v>
      </c>
      <c r="B219" s="10" t="s">
        <v>707</v>
      </c>
      <c r="C219" s="10" t="s">
        <v>712</v>
      </c>
      <c r="D219" s="9" t="n">
        <v>46135</v>
      </c>
      <c r="E219" s="10" t="s">
        <v>81</v>
      </c>
      <c r="F219" s="10" t="s">
        <v>15</v>
      </c>
      <c r="G219" s="10" t="s">
        <v>82</v>
      </c>
      <c r="H219" s="10" t="s">
        <v>84</v>
      </c>
      <c r="I219" s="11" t="s">
        <v>709</v>
      </c>
      <c r="J219" s="10" t="n">
        <f aca="false">IF(COUNTIFS($E$2:E219,E219,$A$2:A219,A219)=1,1,0)</f>
        <v>1</v>
      </c>
    </row>
    <row r="220" customFormat="false" ht="15" hidden="false" customHeight="false" outlineLevel="0" collapsed="false">
      <c r="A220" s="9" t="n">
        <v>46114</v>
      </c>
      <c r="B220" s="10" t="s">
        <v>707</v>
      </c>
      <c r="C220" s="10" t="s">
        <v>669</v>
      </c>
      <c r="D220" s="9" t="n">
        <v>46136</v>
      </c>
      <c r="E220" s="10" t="s">
        <v>26</v>
      </c>
      <c r="F220" s="10" t="s">
        <v>27</v>
      </c>
      <c r="G220" s="10" t="s">
        <v>28</v>
      </c>
      <c r="H220" s="10" t="s">
        <v>670</v>
      </c>
      <c r="I220" s="11" t="s">
        <v>709</v>
      </c>
      <c r="J220" s="10" t="n">
        <f aca="false">IF(COUNTIFS($E$2:E220,E220,$A$2:A220,A220)=1,1,0)</f>
        <v>0</v>
      </c>
    </row>
    <row r="221" customFormat="false" ht="15" hidden="false" customHeight="false" outlineLevel="0" collapsed="false">
      <c r="A221" s="9" t="n">
        <v>46114</v>
      </c>
      <c r="B221" s="10" t="s">
        <v>707</v>
      </c>
      <c r="C221" s="10" t="s">
        <v>719</v>
      </c>
      <c r="D221" s="9" t="n">
        <v>46138</v>
      </c>
      <c r="E221" s="10" t="s">
        <v>43</v>
      </c>
      <c r="F221" s="10" t="s">
        <v>44</v>
      </c>
      <c r="G221" s="10" t="s">
        <v>45</v>
      </c>
      <c r="H221" s="10" t="s">
        <v>703</v>
      </c>
      <c r="I221" s="11" t="s">
        <v>709</v>
      </c>
      <c r="J221" s="10" t="n">
        <f aca="false">IF(COUNTIFS($E$2:E221,E221,$A$2:A221,A221)=1,1,0)</f>
        <v>0</v>
      </c>
    </row>
    <row r="222" customFormat="false" ht="15" hidden="false" customHeight="false" outlineLevel="0" collapsed="false">
      <c r="A222" s="9" t="n">
        <v>46114</v>
      </c>
      <c r="B222" s="10" t="s">
        <v>707</v>
      </c>
      <c r="C222" s="10" t="s">
        <v>720</v>
      </c>
      <c r="D222" s="9" t="n">
        <v>46138</v>
      </c>
      <c r="E222" s="10" t="s">
        <v>71</v>
      </c>
      <c r="F222" s="10" t="s">
        <v>27</v>
      </c>
      <c r="G222" s="10" t="s">
        <v>72</v>
      </c>
      <c r="H222" s="10" t="s">
        <v>74</v>
      </c>
      <c r="I222" s="11" t="s">
        <v>709</v>
      </c>
      <c r="J222" s="10" t="n">
        <f aca="false">IF(COUNTIFS($E$2:E222,E222,$A$2:A222,A222)=1,1,0)</f>
        <v>0</v>
      </c>
    </row>
    <row r="223" customFormat="false" ht="15" hidden="false" customHeight="false" outlineLevel="0" collapsed="false">
      <c r="A223" s="9" t="n">
        <v>46114</v>
      </c>
      <c r="B223" s="10" t="s">
        <v>707</v>
      </c>
      <c r="C223" s="10" t="s">
        <v>644</v>
      </c>
      <c r="D223" s="9" t="n">
        <v>46138</v>
      </c>
      <c r="E223" s="10" t="s">
        <v>48</v>
      </c>
      <c r="F223" s="10" t="s">
        <v>33</v>
      </c>
      <c r="G223" s="10" t="s">
        <v>49</v>
      </c>
      <c r="H223" s="10" t="s">
        <v>51</v>
      </c>
      <c r="I223" s="11" t="s">
        <v>709</v>
      </c>
      <c r="J223" s="10" t="n">
        <f aca="false">IF(COUNTIFS($E$2:E223,E223,$A$2:A223,A223)=1,1,0)</f>
        <v>1</v>
      </c>
    </row>
    <row r="224" customFormat="false" ht="15" hidden="false" customHeight="false" outlineLevel="0" collapsed="false">
      <c r="A224" s="9" t="n">
        <v>46114</v>
      </c>
      <c r="B224" s="10" t="s">
        <v>707</v>
      </c>
      <c r="C224" s="10" t="s">
        <v>93</v>
      </c>
      <c r="D224" s="9" t="n">
        <v>46141</v>
      </c>
      <c r="E224" s="10" t="s">
        <v>92</v>
      </c>
      <c r="F224" s="10" t="s">
        <v>27</v>
      </c>
      <c r="G224" s="10" t="s">
        <v>54</v>
      </c>
      <c r="H224" s="10" t="s">
        <v>94</v>
      </c>
      <c r="I224" s="11" t="s">
        <v>709</v>
      </c>
      <c r="J224" s="10" t="n">
        <f aca="false">IF(COUNTIFS($E$2:E224,E224,$A$2:A224,A224)=1,1,0)</f>
        <v>1</v>
      </c>
    </row>
    <row r="225" customFormat="false" ht="15" hidden="false" customHeight="false" outlineLevel="0" collapsed="false">
      <c r="A225" s="9" t="n">
        <v>46114</v>
      </c>
      <c r="B225" s="10" t="s">
        <v>707</v>
      </c>
      <c r="C225" s="10" t="s">
        <v>649</v>
      </c>
      <c r="D225" s="9" t="n">
        <v>46141</v>
      </c>
      <c r="E225" s="10" t="s">
        <v>66</v>
      </c>
      <c r="F225" s="10" t="s">
        <v>33</v>
      </c>
      <c r="G225" s="10" t="s">
        <v>67</v>
      </c>
      <c r="H225" s="10" t="s">
        <v>69</v>
      </c>
      <c r="I225" s="11" t="s">
        <v>709</v>
      </c>
      <c r="J225" s="10" t="n">
        <f aca="false">IF(COUNTIFS($E$2:E225,E225,$A$2:A225,A225)=1,1,0)</f>
        <v>1</v>
      </c>
    </row>
    <row r="226" customFormat="false" ht="15" hidden="false" customHeight="false" outlineLevel="0" collapsed="false">
      <c r="A226" s="9" t="n">
        <v>46114</v>
      </c>
      <c r="B226" s="10" t="s">
        <v>707</v>
      </c>
      <c r="C226" s="10" t="s">
        <v>721</v>
      </c>
      <c r="D226" s="9" t="n">
        <v>46142</v>
      </c>
      <c r="E226" s="10" t="s">
        <v>153</v>
      </c>
      <c r="F226" s="10" t="s">
        <v>154</v>
      </c>
      <c r="G226" s="10" t="s">
        <v>155</v>
      </c>
      <c r="H226" s="10" t="s">
        <v>24</v>
      </c>
      <c r="I226" s="11" t="s">
        <v>709</v>
      </c>
      <c r="J226" s="10" t="n">
        <f aca="false">IF(COUNTIFS($E$2:E226,E226,$A$2:A226,A226)=1,1,0)</f>
        <v>0</v>
      </c>
    </row>
    <row r="227" customFormat="false" ht="15" hidden="false" customHeight="false" outlineLevel="0" collapsed="false">
      <c r="A227" s="9" t="n">
        <v>46114</v>
      </c>
      <c r="B227" s="10" t="s">
        <v>707</v>
      </c>
      <c r="C227" s="10" t="s">
        <v>722</v>
      </c>
      <c r="D227" s="9" t="n">
        <v>46146</v>
      </c>
      <c r="E227" s="10" t="s">
        <v>53</v>
      </c>
      <c r="F227" s="10" t="s">
        <v>15</v>
      </c>
      <c r="G227" s="10" t="s">
        <v>54</v>
      </c>
      <c r="H227" s="10" t="s">
        <v>723</v>
      </c>
      <c r="I227" s="11" t="s">
        <v>709</v>
      </c>
      <c r="J227" s="10" t="n">
        <f aca="false">IF(COUNTIFS($E$2:E227,E227,$A$2:A227,A227)=1,1,0)</f>
        <v>1</v>
      </c>
    </row>
    <row r="228" customFormat="false" ht="15" hidden="false" customHeight="false" outlineLevel="0" collapsed="false">
      <c r="A228" s="9" t="n">
        <v>46129</v>
      </c>
      <c r="B228" s="10" t="s">
        <v>724</v>
      </c>
      <c r="C228" s="10" t="s">
        <v>708</v>
      </c>
      <c r="D228" s="9" t="n">
        <v>46113</v>
      </c>
      <c r="E228" s="10" t="s">
        <v>26</v>
      </c>
      <c r="F228" s="10" t="s">
        <v>27</v>
      </c>
      <c r="G228" s="10" t="s">
        <v>28</v>
      </c>
      <c r="H228" s="10" t="s">
        <v>24</v>
      </c>
      <c r="I228" s="11" t="s">
        <v>725</v>
      </c>
      <c r="J228" s="10" t="n">
        <f aca="false">IF(COUNTIFS($E$2:E228,E228,$A$2:A228,A228)=1,1,0)</f>
        <v>1</v>
      </c>
    </row>
    <row r="229" customFormat="false" ht="15" hidden="false" customHeight="false" outlineLevel="0" collapsed="false">
      <c r="A229" s="9" t="n">
        <v>46129</v>
      </c>
      <c r="B229" s="10" t="s">
        <v>724</v>
      </c>
      <c r="C229" s="10" t="s">
        <v>673</v>
      </c>
      <c r="D229" s="9" t="n">
        <v>46114</v>
      </c>
      <c r="E229" s="10" t="s">
        <v>20</v>
      </c>
      <c r="F229" s="10" t="s">
        <v>21</v>
      </c>
      <c r="G229" s="10" t="s">
        <v>22</v>
      </c>
      <c r="H229" s="10" t="s">
        <v>24</v>
      </c>
      <c r="I229" s="11" t="s">
        <v>725</v>
      </c>
      <c r="J229" s="10" t="n">
        <f aca="false">IF(COUNTIFS($E$2:E229,E229,$A$2:A229,A229)=1,1,0)</f>
        <v>1</v>
      </c>
    </row>
    <row r="230" customFormat="false" ht="15" hidden="false" customHeight="false" outlineLevel="0" collapsed="false">
      <c r="A230" s="9" t="n">
        <v>46129</v>
      </c>
      <c r="B230" s="10" t="s">
        <v>724</v>
      </c>
      <c r="C230" s="10" t="s">
        <v>726</v>
      </c>
      <c r="D230" s="9" t="n">
        <v>46123</v>
      </c>
      <c r="E230" s="10" t="s">
        <v>153</v>
      </c>
      <c r="F230" s="10" t="s">
        <v>154</v>
      </c>
      <c r="G230" s="10" t="s">
        <v>155</v>
      </c>
      <c r="H230" s="10" t="s">
        <v>24</v>
      </c>
      <c r="I230" s="11" t="s">
        <v>725</v>
      </c>
      <c r="J230" s="10" t="n">
        <f aca="false">IF(COUNTIFS($E$2:E230,E230,$A$2:A230,A230)=1,1,0)</f>
        <v>1</v>
      </c>
    </row>
    <row r="231" customFormat="false" ht="15" hidden="false" customHeight="false" outlineLevel="0" collapsed="false">
      <c r="A231" s="9" t="n">
        <v>46129</v>
      </c>
      <c r="B231" s="10" t="s">
        <v>724</v>
      </c>
      <c r="C231" s="10" t="s">
        <v>715</v>
      </c>
      <c r="D231" s="9" t="n">
        <v>46128</v>
      </c>
      <c r="E231" s="10" t="s">
        <v>26</v>
      </c>
      <c r="F231" s="10" t="s">
        <v>27</v>
      </c>
      <c r="G231" s="10" t="s">
        <v>28</v>
      </c>
      <c r="H231" s="10" t="s">
        <v>30</v>
      </c>
      <c r="I231" s="11" t="s">
        <v>725</v>
      </c>
      <c r="J231" s="10" t="n">
        <f aca="false">IF(COUNTIFS($E$2:E231,E231,$A$2:A231,A231)=1,1,0)</f>
        <v>0</v>
      </c>
    </row>
    <row r="232" customFormat="false" ht="15" hidden="false" customHeight="false" outlineLevel="0" collapsed="false">
      <c r="A232" s="9" t="n">
        <v>46129</v>
      </c>
      <c r="B232" s="10" t="s">
        <v>724</v>
      </c>
      <c r="C232" s="10" t="s">
        <v>727</v>
      </c>
      <c r="D232" s="9" t="n">
        <v>46129</v>
      </c>
      <c r="E232" s="10" t="s">
        <v>14</v>
      </c>
      <c r="F232" s="10" t="s">
        <v>15</v>
      </c>
      <c r="G232" s="10" t="s">
        <v>16</v>
      </c>
      <c r="H232" s="10" t="s">
        <v>18</v>
      </c>
      <c r="I232" s="11" t="s">
        <v>725</v>
      </c>
      <c r="J232" s="10" t="n">
        <f aca="false">IF(COUNTIFS($E$2:E232,E232,$A$2:A232,A232)=1,1,0)</f>
        <v>1</v>
      </c>
    </row>
    <row r="233" customFormat="false" ht="15" hidden="false" customHeight="false" outlineLevel="0" collapsed="false">
      <c r="A233" s="9" t="n">
        <v>46129</v>
      </c>
      <c r="B233" s="10" t="s">
        <v>724</v>
      </c>
      <c r="C233" s="10" t="s">
        <v>728</v>
      </c>
      <c r="D233" s="9" t="n">
        <v>46130</v>
      </c>
      <c r="E233" s="10" t="s">
        <v>169</v>
      </c>
      <c r="F233" s="10" t="s">
        <v>15</v>
      </c>
      <c r="G233" s="10" t="s">
        <v>39</v>
      </c>
      <c r="H233" s="10" t="s">
        <v>171</v>
      </c>
      <c r="I233" s="11" t="s">
        <v>725</v>
      </c>
      <c r="J233" s="10" t="n">
        <f aca="false">IF(COUNTIFS($E$2:E233,E233,$A$2:A233,A233)=1,1,0)</f>
        <v>1</v>
      </c>
    </row>
    <row r="234" customFormat="false" ht="15" hidden="false" customHeight="false" outlineLevel="0" collapsed="false">
      <c r="A234" s="9" t="n">
        <v>46129</v>
      </c>
      <c r="B234" s="10" t="s">
        <v>724</v>
      </c>
      <c r="C234" s="10" t="s">
        <v>211</v>
      </c>
      <c r="D234" s="9" t="n">
        <v>46130</v>
      </c>
      <c r="E234" s="10" t="s">
        <v>210</v>
      </c>
      <c r="F234" s="10" t="s">
        <v>177</v>
      </c>
      <c r="G234" s="10" t="s">
        <v>39</v>
      </c>
      <c r="H234" s="10"/>
      <c r="I234" s="11" t="s">
        <v>725</v>
      </c>
      <c r="J234" s="10" t="n">
        <f aca="false">IF(COUNTIFS($E$2:E234,E234,$A$2:A234,A234)=1,1,0)</f>
        <v>1</v>
      </c>
    </row>
    <row r="235" customFormat="false" ht="15" hidden="false" customHeight="false" outlineLevel="0" collapsed="false">
      <c r="A235" s="9" t="n">
        <v>46129</v>
      </c>
      <c r="B235" s="10" t="s">
        <v>724</v>
      </c>
      <c r="C235" s="10" t="s">
        <v>701</v>
      </c>
      <c r="D235" s="9" t="n">
        <v>46132</v>
      </c>
      <c r="E235" s="10" t="s">
        <v>20</v>
      </c>
      <c r="F235" s="10" t="s">
        <v>21</v>
      </c>
      <c r="G235" s="10" t="s">
        <v>22</v>
      </c>
      <c r="H235" s="10" t="s">
        <v>24</v>
      </c>
      <c r="I235" s="11" t="s">
        <v>725</v>
      </c>
      <c r="J235" s="10" t="n">
        <f aca="false">IF(COUNTIFS($E$2:E235,E235,$A$2:A235,A235)=1,1,0)</f>
        <v>0</v>
      </c>
    </row>
    <row r="236" customFormat="false" ht="15" hidden="false" customHeight="false" outlineLevel="0" collapsed="false">
      <c r="A236" s="9" t="n">
        <v>46129</v>
      </c>
      <c r="B236" s="10" t="s">
        <v>724</v>
      </c>
      <c r="C236" s="10" t="s">
        <v>428</v>
      </c>
      <c r="D236" s="9" t="n">
        <v>46133</v>
      </c>
      <c r="E236" s="10" t="s">
        <v>427</v>
      </c>
      <c r="F236" s="10" t="s">
        <v>21</v>
      </c>
      <c r="G236" s="10" t="s">
        <v>155</v>
      </c>
      <c r="H236" s="10"/>
      <c r="I236" s="11" t="s">
        <v>725</v>
      </c>
      <c r="J236" s="10" t="n">
        <f aca="false">IF(COUNTIFS($E$2:E236,E236,$A$2:A236,A236)=1,1,0)</f>
        <v>1</v>
      </c>
    </row>
    <row r="237" customFormat="false" ht="15" hidden="false" customHeight="false" outlineLevel="0" collapsed="false">
      <c r="A237" s="9" t="n">
        <v>46129</v>
      </c>
      <c r="B237" s="10" t="s">
        <v>724</v>
      </c>
      <c r="C237" s="10" t="s">
        <v>712</v>
      </c>
      <c r="D237" s="9" t="n">
        <v>46135</v>
      </c>
      <c r="E237" s="10" t="s">
        <v>81</v>
      </c>
      <c r="F237" s="10" t="s">
        <v>15</v>
      </c>
      <c r="G237" s="10" t="s">
        <v>82</v>
      </c>
      <c r="H237" s="10" t="s">
        <v>84</v>
      </c>
      <c r="I237" s="11" t="s">
        <v>725</v>
      </c>
      <c r="J237" s="10" t="n">
        <f aca="false">IF(COUNTIFS($E$2:E237,E237,$A$2:A237,A237)=1,1,0)</f>
        <v>1</v>
      </c>
    </row>
    <row r="238" customFormat="false" ht="15" hidden="false" customHeight="false" outlineLevel="0" collapsed="false">
      <c r="A238" s="9" t="n">
        <v>46129</v>
      </c>
      <c r="B238" s="10" t="s">
        <v>724</v>
      </c>
      <c r="C238" s="10" t="s">
        <v>669</v>
      </c>
      <c r="D238" s="9" t="n">
        <v>46136</v>
      </c>
      <c r="E238" s="10" t="s">
        <v>26</v>
      </c>
      <c r="F238" s="10" t="s">
        <v>27</v>
      </c>
      <c r="G238" s="10" t="s">
        <v>28</v>
      </c>
      <c r="H238" s="10" t="s">
        <v>670</v>
      </c>
      <c r="I238" s="11" t="s">
        <v>725</v>
      </c>
      <c r="J238" s="10" t="n">
        <f aca="false">IF(COUNTIFS($E$2:E238,E238,$A$2:A238,A238)=1,1,0)</f>
        <v>0</v>
      </c>
    </row>
    <row r="239" customFormat="false" ht="15" hidden="false" customHeight="false" outlineLevel="0" collapsed="false">
      <c r="A239" s="9" t="n">
        <v>46129</v>
      </c>
      <c r="B239" s="10" t="s">
        <v>724</v>
      </c>
      <c r="C239" s="10" t="s">
        <v>729</v>
      </c>
      <c r="D239" s="9" t="n">
        <v>46137</v>
      </c>
      <c r="E239" s="10" t="s">
        <v>233</v>
      </c>
      <c r="F239" s="10" t="s">
        <v>107</v>
      </c>
      <c r="G239" s="10" t="s">
        <v>39</v>
      </c>
      <c r="H239" s="10"/>
      <c r="I239" s="11" t="s">
        <v>725</v>
      </c>
      <c r="J239" s="10" t="n">
        <f aca="false">IF(COUNTIFS($E$2:E239,E239,$A$2:A239,A239)=1,1,0)</f>
        <v>1</v>
      </c>
    </row>
    <row r="240" customFormat="false" ht="15" hidden="false" customHeight="false" outlineLevel="0" collapsed="false">
      <c r="A240" s="9" t="n">
        <v>46129</v>
      </c>
      <c r="B240" s="10" t="s">
        <v>724</v>
      </c>
      <c r="C240" s="10" t="s">
        <v>719</v>
      </c>
      <c r="D240" s="9" t="n">
        <v>46138</v>
      </c>
      <c r="E240" s="10" t="s">
        <v>43</v>
      </c>
      <c r="F240" s="10" t="s">
        <v>44</v>
      </c>
      <c r="G240" s="10" t="s">
        <v>45</v>
      </c>
      <c r="H240" s="10" t="s">
        <v>703</v>
      </c>
      <c r="I240" s="11" t="s">
        <v>725</v>
      </c>
      <c r="J240" s="10" t="n">
        <f aca="false">IF(COUNTIFS($E$2:E240,E240,$A$2:A240,A240)=1,1,0)</f>
        <v>1</v>
      </c>
    </row>
    <row r="241" customFormat="false" ht="15" hidden="false" customHeight="false" outlineLevel="0" collapsed="false">
      <c r="A241" s="9" t="n">
        <v>46129</v>
      </c>
      <c r="B241" s="10" t="s">
        <v>724</v>
      </c>
      <c r="C241" s="10" t="s">
        <v>720</v>
      </c>
      <c r="D241" s="9" t="n">
        <v>46138</v>
      </c>
      <c r="E241" s="10" t="s">
        <v>71</v>
      </c>
      <c r="F241" s="10" t="s">
        <v>27</v>
      </c>
      <c r="G241" s="10" t="s">
        <v>72</v>
      </c>
      <c r="H241" s="10" t="s">
        <v>74</v>
      </c>
      <c r="I241" s="11" t="s">
        <v>725</v>
      </c>
      <c r="J241" s="10" t="n">
        <f aca="false">IF(COUNTIFS($E$2:E241,E241,$A$2:A241,A241)=1,1,0)</f>
        <v>1</v>
      </c>
    </row>
    <row r="242" customFormat="false" ht="15" hidden="false" customHeight="false" outlineLevel="0" collapsed="false">
      <c r="A242" s="9" t="n">
        <v>46129</v>
      </c>
      <c r="B242" s="10" t="s">
        <v>724</v>
      </c>
      <c r="C242" s="10" t="s">
        <v>730</v>
      </c>
      <c r="D242" s="9" t="n">
        <v>46138</v>
      </c>
      <c r="E242" s="10" t="s">
        <v>247</v>
      </c>
      <c r="F242" s="10" t="s">
        <v>33</v>
      </c>
      <c r="G242" s="10" t="s">
        <v>248</v>
      </c>
      <c r="H242" s="10" t="s">
        <v>731</v>
      </c>
      <c r="I242" s="11" t="s">
        <v>725</v>
      </c>
      <c r="J242" s="10" t="n">
        <f aca="false">IF(COUNTIFS($E$2:E242,E242,$A$2:A242,A242)=1,1,0)</f>
        <v>1</v>
      </c>
    </row>
    <row r="243" customFormat="false" ht="15" hidden="false" customHeight="false" outlineLevel="0" collapsed="false">
      <c r="A243" s="9" t="n">
        <v>46129</v>
      </c>
      <c r="B243" s="10" t="s">
        <v>724</v>
      </c>
      <c r="C243" s="10" t="s">
        <v>644</v>
      </c>
      <c r="D243" s="9" t="n">
        <v>46138</v>
      </c>
      <c r="E243" s="10" t="s">
        <v>48</v>
      </c>
      <c r="F243" s="10" t="s">
        <v>33</v>
      </c>
      <c r="G243" s="10" t="s">
        <v>49</v>
      </c>
      <c r="H243" s="10" t="s">
        <v>51</v>
      </c>
      <c r="I243" s="11" t="s">
        <v>725</v>
      </c>
      <c r="J243" s="10" t="n">
        <f aca="false">IF(COUNTIFS($E$2:E243,E243,$A$2:A243,A243)=1,1,0)</f>
        <v>1</v>
      </c>
    </row>
    <row r="244" customFormat="false" ht="15" hidden="false" customHeight="false" outlineLevel="0" collapsed="false">
      <c r="A244" s="9" t="n">
        <v>46129</v>
      </c>
      <c r="B244" s="10" t="s">
        <v>724</v>
      </c>
      <c r="C244" s="10" t="s">
        <v>732</v>
      </c>
      <c r="D244" s="9" t="n">
        <v>46140</v>
      </c>
      <c r="E244" s="10" t="s">
        <v>86</v>
      </c>
      <c r="F244" s="10" t="s">
        <v>87</v>
      </c>
      <c r="G244" s="10" t="s">
        <v>88</v>
      </c>
      <c r="H244" s="10"/>
      <c r="I244" s="11" t="s">
        <v>725</v>
      </c>
      <c r="J244" s="10" t="n">
        <f aca="false">IF(COUNTIFS($E$2:E244,E244,$A$2:A244,A244)=1,1,0)</f>
        <v>1</v>
      </c>
    </row>
    <row r="245" customFormat="false" ht="15" hidden="false" customHeight="false" outlineLevel="0" collapsed="false">
      <c r="A245" s="9" t="n">
        <v>46129</v>
      </c>
      <c r="B245" s="10" t="s">
        <v>724</v>
      </c>
      <c r="C245" s="10" t="s">
        <v>93</v>
      </c>
      <c r="D245" s="9" t="n">
        <v>46141</v>
      </c>
      <c r="E245" s="10" t="s">
        <v>92</v>
      </c>
      <c r="F245" s="10" t="s">
        <v>27</v>
      </c>
      <c r="G245" s="10" t="s">
        <v>54</v>
      </c>
      <c r="H245" s="10" t="s">
        <v>94</v>
      </c>
      <c r="I245" s="11" t="s">
        <v>725</v>
      </c>
      <c r="J245" s="10" t="n">
        <f aca="false">IF(COUNTIFS($E$2:E245,E245,$A$2:A245,A245)=1,1,0)</f>
        <v>1</v>
      </c>
    </row>
    <row r="246" customFormat="false" ht="15" hidden="false" customHeight="false" outlineLevel="0" collapsed="false">
      <c r="A246" s="9" t="n">
        <v>46129</v>
      </c>
      <c r="B246" s="10" t="s">
        <v>724</v>
      </c>
      <c r="C246" s="10" t="s">
        <v>649</v>
      </c>
      <c r="D246" s="9" t="n">
        <v>46141</v>
      </c>
      <c r="E246" s="10" t="s">
        <v>66</v>
      </c>
      <c r="F246" s="10" t="s">
        <v>33</v>
      </c>
      <c r="G246" s="10" t="s">
        <v>67</v>
      </c>
      <c r="H246" s="10" t="s">
        <v>69</v>
      </c>
      <c r="I246" s="11" t="s">
        <v>725</v>
      </c>
      <c r="J246" s="10" t="n">
        <f aca="false">IF(COUNTIFS($E$2:E246,E246,$A$2:A246,A246)=1,1,0)</f>
        <v>1</v>
      </c>
    </row>
    <row r="247" customFormat="false" ht="15" hidden="false" customHeight="false" outlineLevel="0" collapsed="false">
      <c r="A247" s="9" t="n">
        <v>46129</v>
      </c>
      <c r="B247" s="10" t="s">
        <v>724</v>
      </c>
      <c r="C247" s="10" t="s">
        <v>721</v>
      </c>
      <c r="D247" s="9" t="n">
        <v>46142</v>
      </c>
      <c r="E247" s="10" t="s">
        <v>153</v>
      </c>
      <c r="F247" s="10" t="s">
        <v>154</v>
      </c>
      <c r="G247" s="10" t="s">
        <v>155</v>
      </c>
      <c r="H247" s="10" t="s">
        <v>24</v>
      </c>
      <c r="I247" s="11" t="s">
        <v>725</v>
      </c>
      <c r="J247" s="10" t="n">
        <f aca="false">IF(COUNTIFS($E$2:E247,E247,$A$2:A247,A247)=1,1,0)</f>
        <v>0</v>
      </c>
    </row>
    <row r="248" customFormat="false" ht="15" hidden="false" customHeight="false" outlineLevel="0" collapsed="false">
      <c r="A248" s="9" t="n">
        <v>46129</v>
      </c>
      <c r="B248" s="10" t="s">
        <v>724</v>
      </c>
      <c r="C248" s="10" t="s">
        <v>733</v>
      </c>
      <c r="D248" s="9" t="n">
        <v>46142</v>
      </c>
      <c r="E248" s="10" t="s">
        <v>347</v>
      </c>
      <c r="F248" s="10" t="s">
        <v>33</v>
      </c>
      <c r="G248" s="10" t="s">
        <v>348</v>
      </c>
      <c r="H248" s="10" t="s">
        <v>350</v>
      </c>
      <c r="I248" s="11" t="s">
        <v>725</v>
      </c>
      <c r="J248" s="10" t="n">
        <f aca="false">IF(COUNTIFS($E$2:E248,E248,$A$2:A248,A248)=1,1,0)</f>
        <v>1</v>
      </c>
    </row>
    <row r="249" customFormat="false" ht="15" hidden="false" customHeight="false" outlineLevel="0" collapsed="false">
      <c r="A249" s="9" t="n">
        <v>46129</v>
      </c>
      <c r="B249" s="10" t="s">
        <v>724</v>
      </c>
      <c r="C249" s="10" t="s">
        <v>241</v>
      </c>
      <c r="D249" s="9" t="n">
        <v>46143</v>
      </c>
      <c r="E249" s="10" t="s">
        <v>240</v>
      </c>
      <c r="F249" s="10" t="s">
        <v>177</v>
      </c>
      <c r="G249" s="10" t="s">
        <v>39</v>
      </c>
      <c r="H249" s="10" t="s">
        <v>242</v>
      </c>
      <c r="I249" s="11" t="s">
        <v>725</v>
      </c>
      <c r="J249" s="10" t="n">
        <f aca="false">IF(COUNTIFS($E$2:E249,E249,$A$2:A249,A249)=1,1,0)</f>
        <v>1</v>
      </c>
    </row>
    <row r="250" customFormat="false" ht="15" hidden="false" customHeight="false" outlineLevel="0" collapsed="false">
      <c r="A250" s="9" t="n">
        <v>46129</v>
      </c>
      <c r="B250" s="10" t="s">
        <v>724</v>
      </c>
      <c r="C250" s="10" t="s">
        <v>734</v>
      </c>
      <c r="D250" s="9" t="n">
        <v>46146</v>
      </c>
      <c r="E250" s="10" t="s">
        <v>53</v>
      </c>
      <c r="F250" s="10" t="s">
        <v>15</v>
      </c>
      <c r="G250" s="10" t="s">
        <v>54</v>
      </c>
      <c r="H250" s="10" t="s">
        <v>723</v>
      </c>
      <c r="I250" s="11" t="s">
        <v>725</v>
      </c>
      <c r="J250" s="10" t="n">
        <f aca="false">IF(COUNTIFS($E$2:E250,E250,$A$2:A250,A250)=1,1,0)</f>
        <v>1</v>
      </c>
    </row>
    <row r="251" customFormat="false" ht="15" hidden="false" customHeight="false" outlineLevel="0" collapsed="false">
      <c r="A251" s="9" t="n">
        <v>46129</v>
      </c>
      <c r="B251" s="10" t="s">
        <v>724</v>
      </c>
      <c r="C251" s="10" t="s">
        <v>735</v>
      </c>
      <c r="D251" s="9" t="n">
        <v>46156</v>
      </c>
      <c r="E251" s="10" t="s">
        <v>219</v>
      </c>
      <c r="F251" s="10" t="s">
        <v>177</v>
      </c>
      <c r="G251" s="10" t="s">
        <v>142</v>
      </c>
      <c r="H251" s="10" t="s">
        <v>221</v>
      </c>
      <c r="I251" s="11" t="s">
        <v>725</v>
      </c>
      <c r="J251" s="10" t="n">
        <f aca="false">IF(COUNTIFS($E$2:E251,E251,$A$2:A251,A251)=1,1,0)</f>
        <v>1</v>
      </c>
    </row>
    <row r="252" customFormat="false" ht="15" hidden="false" customHeight="false" outlineLevel="0" collapsed="false">
      <c r="A252" s="9" t="n">
        <v>46143</v>
      </c>
      <c r="B252" s="10" t="s">
        <v>736</v>
      </c>
      <c r="C252" s="10" t="s">
        <v>241</v>
      </c>
      <c r="D252" s="9" t="n">
        <v>46143</v>
      </c>
      <c r="E252" s="10" t="s">
        <v>240</v>
      </c>
      <c r="F252" s="10" t="s">
        <v>177</v>
      </c>
      <c r="G252" s="10" t="s">
        <v>39</v>
      </c>
      <c r="H252" s="10" t="s">
        <v>242</v>
      </c>
      <c r="I252" s="11" t="s">
        <v>737</v>
      </c>
      <c r="J252" s="10" t="n">
        <f aca="false">IF(COUNTIFS($E$2:E252,E252,$A$2:A252,A252)=1,1,0)</f>
        <v>1</v>
      </c>
    </row>
    <row r="253" customFormat="false" ht="15" hidden="false" customHeight="false" outlineLevel="0" collapsed="false">
      <c r="A253" s="9" t="n">
        <v>46143</v>
      </c>
      <c r="B253" s="10" t="s">
        <v>736</v>
      </c>
      <c r="C253" s="10" t="s">
        <v>738</v>
      </c>
      <c r="D253" s="9" t="n">
        <v>46143</v>
      </c>
      <c r="E253" s="10" t="s">
        <v>137</v>
      </c>
      <c r="F253" s="10" t="s">
        <v>33</v>
      </c>
      <c r="G253" s="10" t="s">
        <v>138</v>
      </c>
      <c r="H253" s="10"/>
      <c r="I253" s="11" t="s">
        <v>737</v>
      </c>
      <c r="J253" s="10" t="n">
        <f aca="false">IF(COUNTIFS($E$2:E253,E253,$A$2:A253,A253)=1,1,0)</f>
        <v>1</v>
      </c>
    </row>
    <row r="254" customFormat="false" ht="15" hidden="false" customHeight="false" outlineLevel="0" collapsed="false">
      <c r="A254" s="9" t="n">
        <v>46143</v>
      </c>
      <c r="B254" s="10" t="s">
        <v>736</v>
      </c>
      <c r="C254" s="10" t="s">
        <v>673</v>
      </c>
      <c r="D254" s="9" t="n">
        <v>46144</v>
      </c>
      <c r="E254" s="10" t="s">
        <v>20</v>
      </c>
      <c r="F254" s="10" t="s">
        <v>21</v>
      </c>
      <c r="G254" s="10" t="s">
        <v>22</v>
      </c>
      <c r="H254" s="10" t="s">
        <v>24</v>
      </c>
      <c r="I254" s="11" t="s">
        <v>737</v>
      </c>
      <c r="J254" s="10" t="n">
        <f aca="false">IF(COUNTIFS($E$2:E254,E254,$A$2:A254,A254)=1,1,0)</f>
        <v>1</v>
      </c>
    </row>
    <row r="255" customFormat="false" ht="15" hidden="false" customHeight="false" outlineLevel="0" collapsed="false">
      <c r="A255" s="9" t="n">
        <v>46143</v>
      </c>
      <c r="B255" s="10" t="s">
        <v>736</v>
      </c>
      <c r="C255" s="10" t="s">
        <v>739</v>
      </c>
      <c r="D255" s="9" t="n">
        <v>46144</v>
      </c>
      <c r="E255" s="10" t="s">
        <v>129</v>
      </c>
      <c r="F255" s="10" t="s">
        <v>87</v>
      </c>
      <c r="G255" s="10" t="s">
        <v>54</v>
      </c>
      <c r="H255" s="10" t="s">
        <v>131</v>
      </c>
      <c r="I255" s="11" t="s">
        <v>737</v>
      </c>
      <c r="J255" s="10" t="n">
        <f aca="false">IF(COUNTIFS($E$2:E255,E255,$A$2:A255,A255)=1,1,0)</f>
        <v>1</v>
      </c>
    </row>
    <row r="256" customFormat="false" ht="15" hidden="false" customHeight="false" outlineLevel="0" collapsed="false">
      <c r="A256" s="9" t="n">
        <v>46143</v>
      </c>
      <c r="B256" s="10" t="s">
        <v>736</v>
      </c>
      <c r="C256" s="10" t="s">
        <v>254</v>
      </c>
      <c r="D256" s="9" t="n">
        <v>46144</v>
      </c>
      <c r="E256" s="10" t="s">
        <v>133</v>
      </c>
      <c r="F256" s="10" t="s">
        <v>33</v>
      </c>
      <c r="G256" s="10" t="s">
        <v>134</v>
      </c>
      <c r="H256" s="10"/>
      <c r="I256" s="11" t="s">
        <v>737</v>
      </c>
      <c r="J256" s="10" t="n">
        <f aca="false">IF(COUNTIFS($E$2:E256,E256,$A$2:A256,A256)=1,1,0)</f>
        <v>1</v>
      </c>
    </row>
    <row r="257" customFormat="false" ht="15" hidden="false" customHeight="false" outlineLevel="0" collapsed="false">
      <c r="A257" s="9" t="n">
        <v>46143</v>
      </c>
      <c r="B257" s="10" t="s">
        <v>736</v>
      </c>
      <c r="C257" s="10" t="s">
        <v>305</v>
      </c>
      <c r="D257" s="9" t="n">
        <v>46145</v>
      </c>
      <c r="E257" s="10" t="s">
        <v>303</v>
      </c>
      <c r="F257" s="10" t="s">
        <v>15</v>
      </c>
      <c r="G257" s="10" t="s">
        <v>304</v>
      </c>
      <c r="H257" s="10" t="s">
        <v>305</v>
      </c>
      <c r="I257" s="11" t="s">
        <v>737</v>
      </c>
      <c r="J257" s="10" t="n">
        <f aca="false">IF(COUNTIFS($E$2:E257,E257,$A$2:A257,A257)=1,1,0)</f>
        <v>1</v>
      </c>
    </row>
    <row r="258" customFormat="false" ht="15" hidden="false" customHeight="false" outlineLevel="0" collapsed="false">
      <c r="A258" s="9" t="n">
        <v>46143</v>
      </c>
      <c r="B258" s="10" t="s">
        <v>736</v>
      </c>
      <c r="C258" s="10" t="s">
        <v>740</v>
      </c>
      <c r="D258" s="9" t="n">
        <v>46145</v>
      </c>
      <c r="E258" s="10" t="s">
        <v>38</v>
      </c>
      <c r="F258" s="10" t="s">
        <v>15</v>
      </c>
      <c r="G258" s="10" t="s">
        <v>39</v>
      </c>
      <c r="H258" s="10" t="s">
        <v>41</v>
      </c>
      <c r="I258" s="11" t="s">
        <v>737</v>
      </c>
      <c r="J258" s="10" t="n">
        <f aca="false">IF(COUNTIFS($E$2:E258,E258,$A$2:A258,A258)=1,1,0)</f>
        <v>1</v>
      </c>
    </row>
    <row r="259" customFormat="false" ht="15" hidden="false" customHeight="false" outlineLevel="0" collapsed="false">
      <c r="A259" s="9" t="n">
        <v>46143</v>
      </c>
      <c r="B259" s="10" t="s">
        <v>736</v>
      </c>
      <c r="C259" s="10" t="s">
        <v>741</v>
      </c>
      <c r="D259" s="9" t="n">
        <v>46145</v>
      </c>
      <c r="E259" s="10" t="s">
        <v>38</v>
      </c>
      <c r="F259" s="10" t="s">
        <v>15</v>
      </c>
      <c r="G259" s="10" t="s">
        <v>39</v>
      </c>
      <c r="H259" s="10"/>
      <c r="I259" s="11" t="s">
        <v>737</v>
      </c>
      <c r="J259" s="10" t="n">
        <f aca="false">IF(COUNTIFS($E$2:E259,E259,$A$2:A259,A259)=1,1,0)</f>
        <v>0</v>
      </c>
    </row>
    <row r="260" customFormat="false" ht="15" hidden="false" customHeight="false" outlineLevel="0" collapsed="false">
      <c r="A260" s="9" t="n">
        <v>46143</v>
      </c>
      <c r="B260" s="10" t="s">
        <v>736</v>
      </c>
      <c r="C260" s="10" t="s">
        <v>742</v>
      </c>
      <c r="D260" s="9" t="n">
        <v>46146</v>
      </c>
      <c r="E260" s="10" t="s">
        <v>53</v>
      </c>
      <c r="F260" s="10" t="s">
        <v>15</v>
      </c>
      <c r="G260" s="10" t="s">
        <v>54</v>
      </c>
      <c r="H260" s="10" t="s">
        <v>743</v>
      </c>
      <c r="I260" s="11" t="s">
        <v>737</v>
      </c>
      <c r="J260" s="10" t="n">
        <f aca="false">IF(COUNTIFS($E$2:E260,E260,$A$2:A260,A260)=1,1,0)</f>
        <v>1</v>
      </c>
    </row>
    <row r="261" customFormat="false" ht="15" hidden="false" customHeight="false" outlineLevel="0" collapsed="false">
      <c r="A261" s="9" t="n">
        <v>46143</v>
      </c>
      <c r="B261" s="10" t="s">
        <v>736</v>
      </c>
      <c r="C261" s="10" t="s">
        <v>296</v>
      </c>
      <c r="D261" s="9" t="n">
        <v>46147</v>
      </c>
      <c r="E261" s="10" t="s">
        <v>294</v>
      </c>
      <c r="F261" s="10" t="s">
        <v>21</v>
      </c>
      <c r="G261" s="10" t="s">
        <v>295</v>
      </c>
      <c r="H261" s="10" t="s">
        <v>127</v>
      </c>
      <c r="I261" s="11" t="s">
        <v>737</v>
      </c>
      <c r="J261" s="10" t="n">
        <f aca="false">IF(COUNTIFS($E$2:E261,E261,$A$2:A261,A261)=1,1,0)</f>
        <v>1</v>
      </c>
    </row>
    <row r="262" customFormat="false" ht="15" hidden="false" customHeight="false" outlineLevel="0" collapsed="false">
      <c r="A262" s="9" t="n">
        <v>46143</v>
      </c>
      <c r="B262" s="10" t="s">
        <v>736</v>
      </c>
      <c r="C262" s="10" t="s">
        <v>184</v>
      </c>
      <c r="D262" s="9" t="n">
        <v>46147</v>
      </c>
      <c r="E262" s="10" t="s">
        <v>182</v>
      </c>
      <c r="F262" s="10" t="s">
        <v>154</v>
      </c>
      <c r="G262" s="10" t="s">
        <v>183</v>
      </c>
      <c r="H262" s="10" t="s">
        <v>185</v>
      </c>
      <c r="I262" s="11" t="s">
        <v>737</v>
      </c>
      <c r="J262" s="10" t="n">
        <f aca="false">IF(COUNTIFS($E$2:E262,E262,$A$2:A262,A262)=1,1,0)</f>
        <v>1</v>
      </c>
    </row>
    <row r="263" customFormat="false" ht="15" hidden="false" customHeight="false" outlineLevel="0" collapsed="false">
      <c r="A263" s="9" t="n">
        <v>46143</v>
      </c>
      <c r="B263" s="10" t="s">
        <v>736</v>
      </c>
      <c r="C263" s="10" t="s">
        <v>744</v>
      </c>
      <c r="D263" s="9" t="n">
        <v>46150</v>
      </c>
      <c r="E263" s="10" t="s">
        <v>20</v>
      </c>
      <c r="F263" s="10" t="s">
        <v>21</v>
      </c>
      <c r="G263" s="10" t="s">
        <v>22</v>
      </c>
      <c r="H263" s="10" t="s">
        <v>745</v>
      </c>
      <c r="I263" s="11" t="s">
        <v>737</v>
      </c>
      <c r="J263" s="10" t="n">
        <f aca="false">IF(COUNTIFS($E$2:E263,E263,$A$2:A263,A263)=1,1,0)</f>
        <v>0</v>
      </c>
    </row>
    <row r="264" customFormat="false" ht="15" hidden="false" customHeight="false" outlineLevel="0" collapsed="false">
      <c r="A264" s="9" t="n">
        <v>46143</v>
      </c>
      <c r="B264" s="10" t="s">
        <v>736</v>
      </c>
      <c r="C264" s="10" t="s">
        <v>746</v>
      </c>
      <c r="D264" s="9" t="n">
        <v>46150</v>
      </c>
      <c r="E264" s="10" t="s">
        <v>58</v>
      </c>
      <c r="F264" s="10" t="s">
        <v>21</v>
      </c>
      <c r="G264" s="10" t="s">
        <v>39</v>
      </c>
      <c r="H264" s="10" t="s">
        <v>747</v>
      </c>
      <c r="I264" s="11" t="s">
        <v>737</v>
      </c>
      <c r="J264" s="10" t="n">
        <f aca="false">IF(COUNTIFS($E$2:E264,E264,$A$2:A264,A264)=1,1,0)</f>
        <v>1</v>
      </c>
    </row>
    <row r="265" customFormat="false" ht="15" hidden="false" customHeight="false" outlineLevel="0" collapsed="false">
      <c r="A265" s="9" t="n">
        <v>46143</v>
      </c>
      <c r="B265" s="10" t="s">
        <v>736</v>
      </c>
      <c r="C265" s="10" t="s">
        <v>748</v>
      </c>
      <c r="D265" s="9" t="n">
        <v>46151</v>
      </c>
      <c r="E265" s="10" t="s">
        <v>43</v>
      </c>
      <c r="F265" s="10" t="s">
        <v>44</v>
      </c>
      <c r="G265" s="10" t="s">
        <v>45</v>
      </c>
      <c r="H265" s="10" t="s">
        <v>18</v>
      </c>
      <c r="I265" s="11" t="s">
        <v>737</v>
      </c>
      <c r="J265" s="10" t="n">
        <f aca="false">IF(COUNTIFS($E$2:E265,E265,$A$2:A265,A265)=1,1,0)</f>
        <v>1</v>
      </c>
    </row>
    <row r="266" customFormat="false" ht="15" hidden="false" customHeight="false" outlineLevel="0" collapsed="false">
      <c r="A266" s="9" t="n">
        <v>46143</v>
      </c>
      <c r="B266" s="10" t="s">
        <v>736</v>
      </c>
      <c r="C266" s="10" t="s">
        <v>735</v>
      </c>
      <c r="D266" s="9" t="n">
        <v>46151</v>
      </c>
      <c r="E266" s="10" t="s">
        <v>219</v>
      </c>
      <c r="F266" s="10" t="s">
        <v>177</v>
      </c>
      <c r="G266" s="10" t="s">
        <v>142</v>
      </c>
      <c r="H266" s="10" t="s">
        <v>221</v>
      </c>
      <c r="I266" s="11" t="s">
        <v>737</v>
      </c>
      <c r="J266" s="10" t="n">
        <f aca="false">IF(COUNTIFS($E$2:E266,E266,$A$2:A266,A266)=1,1,0)</f>
        <v>1</v>
      </c>
    </row>
    <row r="267" customFormat="false" ht="15" hidden="false" customHeight="false" outlineLevel="0" collapsed="false">
      <c r="A267" s="9" t="n">
        <v>46143</v>
      </c>
      <c r="B267" s="10" t="s">
        <v>736</v>
      </c>
      <c r="C267" s="10" t="s">
        <v>234</v>
      </c>
      <c r="D267" s="9" t="n">
        <v>46151</v>
      </c>
      <c r="E267" s="10" t="s">
        <v>233</v>
      </c>
      <c r="F267" s="10" t="s">
        <v>107</v>
      </c>
      <c r="G267" s="10" t="s">
        <v>39</v>
      </c>
      <c r="H267" s="10"/>
      <c r="I267" s="11" t="s">
        <v>737</v>
      </c>
      <c r="J267" s="10" t="n">
        <f aca="false">IF(COUNTIFS($E$2:E267,E267,$A$2:A267,A267)=1,1,0)</f>
        <v>1</v>
      </c>
    </row>
    <row r="268" customFormat="false" ht="15" hidden="false" customHeight="false" outlineLevel="0" collapsed="false">
      <c r="A268" s="9" t="n">
        <v>46143</v>
      </c>
      <c r="B268" s="10" t="s">
        <v>736</v>
      </c>
      <c r="C268" s="10" t="s">
        <v>749</v>
      </c>
      <c r="D268" s="9" t="n">
        <v>46151</v>
      </c>
      <c r="E268" s="10" t="s">
        <v>38</v>
      </c>
      <c r="F268" s="10" t="s">
        <v>15</v>
      </c>
      <c r="G268" s="10" t="s">
        <v>39</v>
      </c>
      <c r="H268" s="10" t="s">
        <v>24</v>
      </c>
      <c r="I268" s="11" t="s">
        <v>737</v>
      </c>
      <c r="J268" s="10" t="n">
        <f aca="false">IF(COUNTIFS($E$2:E268,E268,$A$2:A268,A268)=1,1,0)</f>
        <v>0</v>
      </c>
    </row>
    <row r="269" customFormat="false" ht="15" hidden="false" customHeight="false" outlineLevel="0" collapsed="false">
      <c r="A269" s="9" t="n">
        <v>46143</v>
      </c>
      <c r="B269" s="10" t="s">
        <v>736</v>
      </c>
      <c r="C269" s="10" t="s">
        <v>712</v>
      </c>
      <c r="D269" s="9" t="n">
        <v>46152</v>
      </c>
      <c r="E269" s="10" t="s">
        <v>71</v>
      </c>
      <c r="F269" s="10" t="s">
        <v>27</v>
      </c>
      <c r="G269" s="10" t="s">
        <v>72</v>
      </c>
      <c r="H269" s="10" t="s">
        <v>84</v>
      </c>
      <c r="I269" s="11" t="s">
        <v>737</v>
      </c>
      <c r="J269" s="10" t="n">
        <f aca="false">IF(COUNTIFS($E$2:E269,E269,$A$2:A269,A269)=1,1,0)</f>
        <v>1</v>
      </c>
    </row>
    <row r="270" customFormat="false" ht="15" hidden="false" customHeight="false" outlineLevel="0" collapsed="false">
      <c r="A270" s="9" t="n">
        <v>46143</v>
      </c>
      <c r="B270" s="10" t="s">
        <v>736</v>
      </c>
      <c r="C270" s="10" t="s">
        <v>89</v>
      </c>
      <c r="D270" s="9" t="n">
        <v>46152</v>
      </c>
      <c r="E270" s="10" t="s">
        <v>86</v>
      </c>
      <c r="F270" s="10" t="s">
        <v>87</v>
      </c>
      <c r="G270" s="10" t="s">
        <v>88</v>
      </c>
      <c r="H270" s="10" t="s">
        <v>90</v>
      </c>
      <c r="I270" s="11" t="s">
        <v>737</v>
      </c>
      <c r="J270" s="10" t="n">
        <f aca="false">IF(COUNTIFS($E$2:E270,E270,$A$2:A270,A270)=1,1,0)</f>
        <v>1</v>
      </c>
    </row>
    <row r="271" customFormat="false" ht="15" hidden="false" customHeight="false" outlineLevel="0" collapsed="false">
      <c r="A271" s="9" t="n">
        <v>46143</v>
      </c>
      <c r="B271" s="10" t="s">
        <v>736</v>
      </c>
      <c r="C271" s="10" t="s">
        <v>208</v>
      </c>
      <c r="D271" s="9" t="n">
        <v>46152</v>
      </c>
      <c r="E271" s="10" t="s">
        <v>206</v>
      </c>
      <c r="F271" s="10" t="s">
        <v>21</v>
      </c>
      <c r="G271" s="10" t="s">
        <v>207</v>
      </c>
      <c r="H271" s="10" t="s">
        <v>209</v>
      </c>
      <c r="I271" s="11" t="s">
        <v>737</v>
      </c>
      <c r="J271" s="10" t="n">
        <f aca="false">IF(COUNTIFS($E$2:E271,E271,$A$2:A271,A271)=1,1,0)</f>
        <v>1</v>
      </c>
    </row>
    <row r="272" customFormat="false" ht="15" hidden="false" customHeight="false" outlineLevel="0" collapsed="false">
      <c r="A272" s="9" t="n">
        <v>46143</v>
      </c>
      <c r="B272" s="10" t="s">
        <v>736</v>
      </c>
      <c r="C272" s="10" t="s">
        <v>750</v>
      </c>
      <c r="D272" s="9" t="n">
        <v>46153</v>
      </c>
      <c r="E272" s="10" t="s">
        <v>259</v>
      </c>
      <c r="F272" s="10" t="s">
        <v>107</v>
      </c>
      <c r="G272" s="10" t="s">
        <v>147</v>
      </c>
      <c r="H272" s="10" t="s">
        <v>271</v>
      </c>
      <c r="I272" s="11" t="s">
        <v>737</v>
      </c>
      <c r="J272" s="10" t="n">
        <f aca="false">IF(COUNTIFS($E$2:E272,E272,$A$2:A272,A272)=1,1,0)</f>
        <v>1</v>
      </c>
    </row>
    <row r="273" customFormat="false" ht="15" hidden="false" customHeight="false" outlineLevel="0" collapsed="false">
      <c r="A273" s="9" t="n">
        <v>46143</v>
      </c>
      <c r="B273" s="10" t="s">
        <v>736</v>
      </c>
      <c r="C273" s="10" t="s">
        <v>604</v>
      </c>
      <c r="D273" s="9" t="n">
        <v>46154</v>
      </c>
      <c r="E273" s="10" t="s">
        <v>20</v>
      </c>
      <c r="F273" s="10" t="s">
        <v>21</v>
      </c>
      <c r="G273" s="10" t="s">
        <v>22</v>
      </c>
      <c r="H273" s="10" t="s">
        <v>24</v>
      </c>
      <c r="I273" s="11" t="s">
        <v>737</v>
      </c>
      <c r="J273" s="10" t="n">
        <f aca="false">IF(COUNTIFS($E$2:E273,E273,$A$2:A273,A273)=1,1,0)</f>
        <v>0</v>
      </c>
    </row>
    <row r="274" customFormat="false" ht="15" hidden="false" customHeight="false" outlineLevel="0" collapsed="false">
      <c r="A274" s="9" t="n">
        <v>46143</v>
      </c>
      <c r="B274" s="10" t="s">
        <v>736</v>
      </c>
      <c r="C274" s="10" t="s">
        <v>254</v>
      </c>
      <c r="D274" s="9" t="n">
        <v>46154</v>
      </c>
      <c r="E274" s="10" t="s">
        <v>252</v>
      </c>
      <c r="F274" s="10" t="s">
        <v>33</v>
      </c>
      <c r="G274" s="10" t="s">
        <v>253</v>
      </c>
      <c r="H274" s="10"/>
      <c r="I274" s="11" t="s">
        <v>737</v>
      </c>
      <c r="J274" s="10" t="n">
        <f aca="false">IF(COUNTIFS($E$2:E274,E274,$A$2:A274,A274)=1,1,0)</f>
        <v>1</v>
      </c>
    </row>
    <row r="275" customFormat="false" ht="15" hidden="false" customHeight="false" outlineLevel="0" collapsed="false">
      <c r="A275" s="9" t="n">
        <v>46143</v>
      </c>
      <c r="B275" s="10" t="s">
        <v>736</v>
      </c>
      <c r="C275" s="10" t="s">
        <v>30</v>
      </c>
      <c r="D275" s="9" t="n">
        <v>46156</v>
      </c>
      <c r="E275" s="10" t="s">
        <v>26</v>
      </c>
      <c r="F275" s="10" t="s">
        <v>27</v>
      </c>
      <c r="G275" s="10" t="s">
        <v>28</v>
      </c>
      <c r="H275" s="10" t="s">
        <v>30</v>
      </c>
      <c r="I275" s="11" t="s">
        <v>737</v>
      </c>
      <c r="J275" s="10" t="n">
        <f aca="false">IF(COUNTIFS($E$2:E275,E275,$A$2:A275,A275)=1,1,0)</f>
        <v>1</v>
      </c>
    </row>
    <row r="276" customFormat="false" ht="15" hidden="false" customHeight="false" outlineLevel="0" collapsed="false">
      <c r="A276" s="9" t="n">
        <v>46143</v>
      </c>
      <c r="B276" s="10" t="s">
        <v>736</v>
      </c>
      <c r="C276" s="10" t="s">
        <v>329</v>
      </c>
      <c r="D276" s="9" t="n">
        <v>46157</v>
      </c>
      <c r="E276" s="10" t="s">
        <v>328</v>
      </c>
      <c r="F276" s="10" t="s">
        <v>15</v>
      </c>
      <c r="G276" s="10" t="s">
        <v>263</v>
      </c>
      <c r="H276" s="10" t="s">
        <v>330</v>
      </c>
      <c r="I276" s="11" t="s">
        <v>737</v>
      </c>
      <c r="J276" s="10" t="n">
        <f aca="false">IF(COUNTIFS($E$2:E276,E276,$A$2:A276,A276)=1,1,0)</f>
        <v>1</v>
      </c>
    </row>
    <row r="277" customFormat="false" ht="15" hidden="false" customHeight="false" outlineLevel="0" collapsed="false">
      <c r="A277" s="9" t="n">
        <v>46143</v>
      </c>
      <c r="B277" s="10" t="s">
        <v>736</v>
      </c>
      <c r="C277" s="10" t="s">
        <v>143</v>
      </c>
      <c r="D277" s="9" t="n">
        <v>46161</v>
      </c>
      <c r="E277" s="10" t="s">
        <v>141</v>
      </c>
      <c r="F277" s="10" t="s">
        <v>107</v>
      </c>
      <c r="G277" s="10" t="s">
        <v>142</v>
      </c>
      <c r="H277" s="10" t="s">
        <v>751</v>
      </c>
      <c r="I277" s="11" t="s">
        <v>737</v>
      </c>
      <c r="J277" s="10" t="n">
        <f aca="false">IF(COUNTIFS($E$2:E277,E277,$A$2:A277,A277)=1,1,0)</f>
        <v>1</v>
      </c>
    </row>
    <row r="278" customFormat="false" ht="15" hidden="false" customHeight="false" outlineLevel="0" collapsed="false">
      <c r="A278" s="9" t="n">
        <v>46143</v>
      </c>
      <c r="B278" s="10" t="s">
        <v>736</v>
      </c>
      <c r="C278" s="10" t="s">
        <v>701</v>
      </c>
      <c r="D278" s="9" t="n">
        <v>46163</v>
      </c>
      <c r="E278" s="10" t="s">
        <v>20</v>
      </c>
      <c r="F278" s="10" t="s">
        <v>21</v>
      </c>
      <c r="G278" s="10" t="s">
        <v>22</v>
      </c>
      <c r="H278" s="10" t="s">
        <v>24</v>
      </c>
      <c r="I278" s="11" t="s">
        <v>737</v>
      </c>
      <c r="J278" s="10" t="n">
        <f aca="false">IF(COUNTIFS($E$2:E278,E278,$A$2:A278,A278)=1,1,0)</f>
        <v>0</v>
      </c>
    </row>
    <row r="279" customFormat="false" ht="15" hidden="false" customHeight="false" outlineLevel="0" collapsed="false">
      <c r="A279" s="9" t="n">
        <v>46143</v>
      </c>
      <c r="B279" s="10" t="s">
        <v>736</v>
      </c>
      <c r="C279" s="10" t="s">
        <v>163</v>
      </c>
      <c r="D279" s="9" t="n">
        <v>46168</v>
      </c>
      <c r="E279" s="10" t="s">
        <v>161</v>
      </c>
      <c r="F279" s="10" t="s">
        <v>21</v>
      </c>
      <c r="G279" s="10" t="s">
        <v>162</v>
      </c>
      <c r="H279" s="10" t="s">
        <v>164</v>
      </c>
      <c r="I279" s="11" t="s">
        <v>737</v>
      </c>
      <c r="J279" s="10" t="n">
        <f aca="false">IF(COUNTIFS($E$2:E279,E279,$A$2:A279,A279)=1,1,0)</f>
        <v>1</v>
      </c>
    </row>
    <row r="280" customFormat="false" ht="15" hidden="false" customHeight="false" outlineLevel="0" collapsed="false">
      <c r="A280" s="9" t="n">
        <v>46143</v>
      </c>
      <c r="B280" s="10" t="s">
        <v>736</v>
      </c>
      <c r="C280" s="10" t="s">
        <v>93</v>
      </c>
      <c r="D280" s="9" t="n">
        <v>46169</v>
      </c>
      <c r="E280" s="10" t="s">
        <v>92</v>
      </c>
      <c r="F280" s="10" t="s">
        <v>27</v>
      </c>
      <c r="G280" s="10" t="s">
        <v>54</v>
      </c>
      <c r="H280" s="10" t="s">
        <v>94</v>
      </c>
      <c r="I280" s="11" t="s">
        <v>737</v>
      </c>
      <c r="J280" s="10" t="n">
        <f aca="false">IF(COUNTIFS($E$2:E280,E280,$A$2:A280,A280)=1,1,0)</f>
        <v>1</v>
      </c>
    </row>
    <row r="281" customFormat="false" ht="15" hidden="false" customHeight="false" outlineLevel="0" collapsed="false">
      <c r="A281" s="9" t="n">
        <v>46143</v>
      </c>
      <c r="B281" s="10" t="s">
        <v>736</v>
      </c>
      <c r="C281" s="10" t="s">
        <v>604</v>
      </c>
      <c r="D281" s="9" t="n">
        <v>46169</v>
      </c>
      <c r="E281" s="10" t="s">
        <v>20</v>
      </c>
      <c r="F281" s="10" t="s">
        <v>21</v>
      </c>
      <c r="G281" s="10" t="s">
        <v>22</v>
      </c>
      <c r="H281" s="10" t="s">
        <v>24</v>
      </c>
      <c r="I281" s="11" t="s">
        <v>737</v>
      </c>
      <c r="J281" s="10" t="n">
        <f aca="false">IF(COUNTIFS($E$2:E281,E281,$A$2:A281,A281)=1,1,0)</f>
        <v>0</v>
      </c>
    </row>
    <row r="282" customFormat="false" ht="15" hidden="false" customHeight="false" outlineLevel="0" collapsed="false">
      <c r="A282" s="9" t="n">
        <v>46143</v>
      </c>
      <c r="B282" s="10" t="s">
        <v>736</v>
      </c>
      <c r="C282" s="10" t="s">
        <v>649</v>
      </c>
      <c r="D282" s="9" t="n">
        <v>46169</v>
      </c>
      <c r="E282" s="10" t="s">
        <v>66</v>
      </c>
      <c r="F282" s="10" t="s">
        <v>33</v>
      </c>
      <c r="G282" s="10" t="s">
        <v>67</v>
      </c>
      <c r="H282" s="10" t="s">
        <v>69</v>
      </c>
      <c r="I282" s="11" t="s">
        <v>737</v>
      </c>
      <c r="J282" s="10" t="n">
        <f aca="false">IF(COUNTIFS($E$2:E282,E282,$A$2:A282,A282)=1,1,0)</f>
        <v>1</v>
      </c>
    </row>
    <row r="283" customFormat="false" ht="15" hidden="false" customHeight="false" outlineLevel="0" collapsed="false">
      <c r="A283" s="9" t="n">
        <v>46143</v>
      </c>
      <c r="B283" s="10" t="s">
        <v>736</v>
      </c>
      <c r="C283" s="10" t="s">
        <v>712</v>
      </c>
      <c r="D283" s="9" t="n">
        <v>46170</v>
      </c>
      <c r="E283" s="10" t="s">
        <v>81</v>
      </c>
      <c r="F283" s="10" t="s">
        <v>15</v>
      </c>
      <c r="G283" s="10" t="s">
        <v>82</v>
      </c>
      <c r="H283" s="10" t="s">
        <v>84</v>
      </c>
      <c r="I283" s="11" t="s">
        <v>737</v>
      </c>
      <c r="J283" s="10" t="n">
        <f aca="false">IF(COUNTIFS($E$2:E283,E283,$A$2:A283,A283)=1,1,0)</f>
        <v>1</v>
      </c>
    </row>
    <row r="284" customFormat="false" ht="15" hidden="false" customHeight="false" outlineLevel="0" collapsed="false">
      <c r="A284" s="9" t="n">
        <v>46143</v>
      </c>
      <c r="B284" s="10" t="s">
        <v>736</v>
      </c>
      <c r="C284" s="10" t="s">
        <v>752</v>
      </c>
      <c r="D284" s="9" t="n">
        <v>46171</v>
      </c>
      <c r="E284" s="10" t="s">
        <v>43</v>
      </c>
      <c r="F284" s="10" t="s">
        <v>44</v>
      </c>
      <c r="G284" s="10" t="s">
        <v>45</v>
      </c>
      <c r="H284" s="10" t="s">
        <v>18</v>
      </c>
      <c r="I284" s="11" t="s">
        <v>737</v>
      </c>
      <c r="J284" s="10" t="n">
        <f aca="false">IF(COUNTIFS($E$2:E284,E284,$A$2:A284,A284)=1,1,0)</f>
        <v>0</v>
      </c>
    </row>
    <row r="285" customFormat="false" ht="15" hidden="false" customHeight="false" outlineLevel="0" collapsed="false">
      <c r="A285" s="9" t="n">
        <v>46143</v>
      </c>
      <c r="B285" s="10" t="s">
        <v>736</v>
      </c>
      <c r="C285" s="10" t="s">
        <v>29</v>
      </c>
      <c r="D285" s="9" t="n">
        <v>46171</v>
      </c>
      <c r="E285" s="10" t="s">
        <v>26</v>
      </c>
      <c r="F285" s="10" t="s">
        <v>27</v>
      </c>
      <c r="G285" s="10" t="s">
        <v>28</v>
      </c>
      <c r="H285" s="10" t="s">
        <v>670</v>
      </c>
      <c r="I285" s="11" t="s">
        <v>737</v>
      </c>
      <c r="J285" s="10" t="n">
        <f aca="false">IF(COUNTIFS($E$2:E285,E285,$A$2:A285,A285)=1,1,0)</f>
        <v>0</v>
      </c>
    </row>
    <row r="286" customFormat="false" ht="15" hidden="false" customHeight="false" outlineLevel="0" collapsed="false">
      <c r="A286" s="9" t="n">
        <v>46143</v>
      </c>
      <c r="B286" s="10" t="s">
        <v>736</v>
      </c>
      <c r="C286" s="10" t="s">
        <v>753</v>
      </c>
      <c r="D286" s="9" t="n">
        <v>46172</v>
      </c>
      <c r="E286" s="10" t="s">
        <v>20</v>
      </c>
      <c r="F286" s="10" t="s">
        <v>21</v>
      </c>
      <c r="G286" s="10" t="s">
        <v>22</v>
      </c>
      <c r="H286" s="10" t="s">
        <v>754</v>
      </c>
      <c r="I286" s="11" t="s">
        <v>737</v>
      </c>
      <c r="J286" s="10" t="n">
        <f aca="false">IF(COUNTIFS($E$2:E286,E286,$A$2:A286,A286)=1,1,0)</f>
        <v>0</v>
      </c>
    </row>
    <row r="287" customFormat="false" ht="15" hidden="false" customHeight="false" outlineLevel="0" collapsed="false">
      <c r="A287" s="9" t="n">
        <v>46143</v>
      </c>
      <c r="B287" s="10" t="s">
        <v>736</v>
      </c>
      <c r="C287" s="10" t="s">
        <v>755</v>
      </c>
      <c r="D287" s="9" t="n">
        <v>46173</v>
      </c>
      <c r="E287" s="10" t="s">
        <v>43</v>
      </c>
      <c r="F287" s="10" t="s">
        <v>44</v>
      </c>
      <c r="G287" s="10" t="s">
        <v>45</v>
      </c>
      <c r="H287" s="10" t="s">
        <v>703</v>
      </c>
      <c r="I287" s="11" t="s">
        <v>737</v>
      </c>
      <c r="J287" s="10" t="n">
        <f aca="false">IF(COUNTIFS($E$2:E287,E287,$A$2:A287,A287)=1,1,0)</f>
        <v>0</v>
      </c>
    </row>
    <row r="288" customFormat="false" ht="15" hidden="false" customHeight="false" outlineLevel="0" collapsed="false">
      <c r="A288" s="9" t="n">
        <v>46143</v>
      </c>
      <c r="B288" s="10" t="s">
        <v>736</v>
      </c>
      <c r="C288" s="10" t="s">
        <v>720</v>
      </c>
      <c r="D288" s="9" t="n">
        <v>46173</v>
      </c>
      <c r="E288" s="10" t="s">
        <v>71</v>
      </c>
      <c r="F288" s="10" t="s">
        <v>27</v>
      </c>
      <c r="G288" s="10" t="s">
        <v>72</v>
      </c>
      <c r="H288" s="10" t="s">
        <v>74</v>
      </c>
      <c r="I288" s="11" t="s">
        <v>737</v>
      </c>
      <c r="J288" s="10" t="n">
        <f aca="false">IF(COUNTIFS($E$2:E288,E288,$A$2:A288,A288)=1,1,0)</f>
        <v>0</v>
      </c>
    </row>
    <row r="289" customFormat="false" ht="15" hidden="false" customHeight="false" outlineLevel="0" collapsed="false">
      <c r="A289" s="9" t="n">
        <v>46143</v>
      </c>
      <c r="B289" s="10" t="s">
        <v>736</v>
      </c>
      <c r="C289" s="10" t="s">
        <v>644</v>
      </c>
      <c r="D289" s="9" t="n">
        <v>46173</v>
      </c>
      <c r="E289" s="10" t="s">
        <v>48</v>
      </c>
      <c r="F289" s="10" t="s">
        <v>33</v>
      </c>
      <c r="G289" s="10" t="s">
        <v>49</v>
      </c>
      <c r="H289" s="10" t="s">
        <v>51</v>
      </c>
      <c r="I289" s="11" t="s">
        <v>737</v>
      </c>
      <c r="J289" s="10" t="n">
        <f aca="false">IF(COUNTIFS($E$2:E289,E289,$A$2:A289,A289)=1,1,0)</f>
        <v>1</v>
      </c>
    </row>
    <row r="290" customFormat="false" ht="15" hidden="false" customHeight="false" outlineLevel="0" collapsed="false">
      <c r="A290" s="9" t="n">
        <v>46161</v>
      </c>
      <c r="B290" s="10" t="s">
        <v>756</v>
      </c>
      <c r="C290" s="10" t="s">
        <v>241</v>
      </c>
      <c r="D290" s="9" t="n">
        <v>46143</v>
      </c>
      <c r="E290" s="10" t="s">
        <v>240</v>
      </c>
      <c r="F290" s="10" t="s">
        <v>177</v>
      </c>
      <c r="G290" s="10" t="s">
        <v>39</v>
      </c>
      <c r="H290" s="10" t="s">
        <v>242</v>
      </c>
      <c r="I290" s="11" t="s">
        <v>757</v>
      </c>
      <c r="J290" s="10" t="n">
        <f aca="false">IF(COUNTIFS($E$2:E290,E290,$A$2:A290,A290)=1,1,0)</f>
        <v>1</v>
      </c>
    </row>
    <row r="291" customFormat="false" ht="15" hidden="false" customHeight="false" outlineLevel="0" collapsed="false">
      <c r="A291" s="9" t="n">
        <v>46161</v>
      </c>
      <c r="B291" s="10" t="s">
        <v>756</v>
      </c>
      <c r="C291" s="10" t="s">
        <v>738</v>
      </c>
      <c r="D291" s="9" t="n">
        <v>46143</v>
      </c>
      <c r="E291" s="10" t="s">
        <v>137</v>
      </c>
      <c r="F291" s="10" t="s">
        <v>33</v>
      </c>
      <c r="G291" s="10" t="s">
        <v>138</v>
      </c>
      <c r="H291" s="10"/>
      <c r="I291" s="11" t="s">
        <v>757</v>
      </c>
      <c r="J291" s="10" t="n">
        <f aca="false">IF(COUNTIFS($E$2:E291,E291,$A$2:A291,A291)=1,1,0)</f>
        <v>1</v>
      </c>
    </row>
    <row r="292" customFormat="false" ht="15" hidden="false" customHeight="false" outlineLevel="0" collapsed="false">
      <c r="A292" s="9" t="n">
        <v>46161</v>
      </c>
      <c r="B292" s="10" t="s">
        <v>756</v>
      </c>
      <c r="C292" s="10" t="s">
        <v>673</v>
      </c>
      <c r="D292" s="9" t="n">
        <v>46144</v>
      </c>
      <c r="E292" s="10" t="s">
        <v>20</v>
      </c>
      <c r="F292" s="10" t="s">
        <v>21</v>
      </c>
      <c r="G292" s="10" t="s">
        <v>22</v>
      </c>
      <c r="H292" s="10" t="s">
        <v>24</v>
      </c>
      <c r="I292" s="11" t="s">
        <v>757</v>
      </c>
      <c r="J292" s="10" t="n">
        <f aca="false">IF(COUNTIFS($E$2:E292,E292,$A$2:A292,A292)=1,1,0)</f>
        <v>1</v>
      </c>
    </row>
    <row r="293" customFormat="false" ht="15" hidden="false" customHeight="false" outlineLevel="0" collapsed="false">
      <c r="A293" s="9" t="n">
        <v>46161</v>
      </c>
      <c r="B293" s="10" t="s">
        <v>756</v>
      </c>
      <c r="C293" s="10" t="s">
        <v>758</v>
      </c>
      <c r="D293" s="9" t="n">
        <v>46144</v>
      </c>
      <c r="E293" s="10" t="s">
        <v>129</v>
      </c>
      <c r="F293" s="10" t="s">
        <v>87</v>
      </c>
      <c r="G293" s="10" t="s">
        <v>54</v>
      </c>
      <c r="H293" s="10" t="s">
        <v>131</v>
      </c>
      <c r="I293" s="11" t="s">
        <v>757</v>
      </c>
      <c r="J293" s="10" t="n">
        <f aca="false">IF(COUNTIFS($E$2:E293,E293,$A$2:A293,A293)=1,1,0)</f>
        <v>1</v>
      </c>
    </row>
    <row r="294" customFormat="false" ht="15" hidden="false" customHeight="false" outlineLevel="0" collapsed="false">
      <c r="A294" s="9" t="n">
        <v>46161</v>
      </c>
      <c r="B294" s="10" t="s">
        <v>756</v>
      </c>
      <c r="C294" s="10" t="s">
        <v>254</v>
      </c>
      <c r="D294" s="9" t="n">
        <v>46144</v>
      </c>
      <c r="E294" s="10" t="s">
        <v>133</v>
      </c>
      <c r="F294" s="10" t="s">
        <v>33</v>
      </c>
      <c r="G294" s="10" t="s">
        <v>134</v>
      </c>
      <c r="H294" s="10"/>
      <c r="I294" s="11" t="s">
        <v>757</v>
      </c>
      <c r="J294" s="10" t="n">
        <f aca="false">IF(COUNTIFS($E$2:E294,E294,$A$2:A294,A294)=1,1,0)</f>
        <v>1</v>
      </c>
    </row>
    <row r="295" customFormat="false" ht="15" hidden="false" customHeight="false" outlineLevel="0" collapsed="false">
      <c r="A295" s="9" t="n">
        <v>46161</v>
      </c>
      <c r="B295" s="10" t="s">
        <v>756</v>
      </c>
      <c r="C295" s="10" t="s">
        <v>305</v>
      </c>
      <c r="D295" s="9" t="n">
        <v>46145</v>
      </c>
      <c r="E295" s="10" t="s">
        <v>303</v>
      </c>
      <c r="F295" s="10" t="s">
        <v>15</v>
      </c>
      <c r="G295" s="10" t="s">
        <v>304</v>
      </c>
      <c r="H295" s="10"/>
      <c r="I295" s="11" t="s">
        <v>757</v>
      </c>
      <c r="J295" s="10" t="n">
        <f aca="false">IF(COUNTIFS($E$2:E295,E295,$A$2:A295,A295)=1,1,0)</f>
        <v>1</v>
      </c>
    </row>
    <row r="296" customFormat="false" ht="15" hidden="false" customHeight="false" outlineLevel="0" collapsed="false">
      <c r="A296" s="9" t="n">
        <v>46161</v>
      </c>
      <c r="B296" s="10" t="s">
        <v>756</v>
      </c>
      <c r="C296" s="10" t="s">
        <v>740</v>
      </c>
      <c r="D296" s="9" t="n">
        <v>46145</v>
      </c>
      <c r="E296" s="10" t="s">
        <v>38</v>
      </c>
      <c r="F296" s="10" t="s">
        <v>15</v>
      </c>
      <c r="G296" s="10" t="s">
        <v>39</v>
      </c>
      <c r="H296" s="10"/>
      <c r="I296" s="11" t="s">
        <v>757</v>
      </c>
      <c r="J296" s="10" t="n">
        <f aca="false">IF(COUNTIFS($E$2:E296,E296,$A$2:A296,A296)=1,1,0)</f>
        <v>1</v>
      </c>
    </row>
    <row r="297" customFormat="false" ht="15" hidden="false" customHeight="false" outlineLevel="0" collapsed="false">
      <c r="A297" s="9" t="n">
        <v>46161</v>
      </c>
      <c r="B297" s="10" t="s">
        <v>756</v>
      </c>
      <c r="C297" s="10" t="s">
        <v>741</v>
      </c>
      <c r="D297" s="9" t="n">
        <v>46145</v>
      </c>
      <c r="E297" s="10" t="s">
        <v>38</v>
      </c>
      <c r="F297" s="10" t="s">
        <v>15</v>
      </c>
      <c r="G297" s="10" t="s">
        <v>39</v>
      </c>
      <c r="H297" s="10"/>
      <c r="I297" s="11" t="s">
        <v>757</v>
      </c>
      <c r="J297" s="10" t="n">
        <f aca="false">IF(COUNTIFS($E$2:E297,E297,$A$2:A297,A297)=1,1,0)</f>
        <v>0</v>
      </c>
    </row>
    <row r="298" customFormat="false" ht="15" hidden="false" customHeight="false" outlineLevel="0" collapsed="false">
      <c r="A298" s="9" t="n">
        <v>46161</v>
      </c>
      <c r="B298" s="10" t="s">
        <v>756</v>
      </c>
      <c r="C298" s="10" t="s">
        <v>742</v>
      </c>
      <c r="D298" s="9" t="n">
        <v>46146</v>
      </c>
      <c r="E298" s="10" t="s">
        <v>53</v>
      </c>
      <c r="F298" s="10" t="s">
        <v>15</v>
      </c>
      <c r="G298" s="10" t="s">
        <v>54</v>
      </c>
      <c r="H298" s="10"/>
      <c r="I298" s="11" t="s">
        <v>757</v>
      </c>
      <c r="J298" s="10" t="n">
        <f aca="false">IF(COUNTIFS($E$2:E298,E298,$A$2:A298,A298)=1,1,0)</f>
        <v>1</v>
      </c>
    </row>
    <row r="299" customFormat="false" ht="15" hidden="false" customHeight="false" outlineLevel="0" collapsed="false">
      <c r="A299" s="9" t="n">
        <v>46161</v>
      </c>
      <c r="B299" s="10" t="s">
        <v>756</v>
      </c>
      <c r="C299" s="10" t="s">
        <v>296</v>
      </c>
      <c r="D299" s="9" t="n">
        <v>46147</v>
      </c>
      <c r="E299" s="10" t="s">
        <v>294</v>
      </c>
      <c r="F299" s="10" t="s">
        <v>21</v>
      </c>
      <c r="G299" s="10" t="s">
        <v>295</v>
      </c>
      <c r="H299" s="10"/>
      <c r="I299" s="11" t="s">
        <v>757</v>
      </c>
      <c r="J299" s="10" t="n">
        <f aca="false">IF(COUNTIFS($E$2:E299,E299,$A$2:A299,A299)=1,1,0)</f>
        <v>1</v>
      </c>
    </row>
    <row r="300" customFormat="false" ht="15" hidden="false" customHeight="false" outlineLevel="0" collapsed="false">
      <c r="A300" s="9" t="n">
        <v>46161</v>
      </c>
      <c r="B300" s="10" t="s">
        <v>756</v>
      </c>
      <c r="C300" s="10" t="s">
        <v>184</v>
      </c>
      <c r="D300" s="9" t="n">
        <v>46147</v>
      </c>
      <c r="E300" s="10" t="s">
        <v>182</v>
      </c>
      <c r="F300" s="10" t="s">
        <v>154</v>
      </c>
      <c r="G300" s="10" t="s">
        <v>183</v>
      </c>
      <c r="H300" s="10"/>
      <c r="I300" s="11" t="s">
        <v>757</v>
      </c>
      <c r="J300" s="10" t="n">
        <f aca="false">IF(COUNTIFS($E$2:E300,E300,$A$2:A300,A300)=1,1,0)</f>
        <v>1</v>
      </c>
    </row>
    <row r="301" customFormat="false" ht="15" hidden="false" customHeight="false" outlineLevel="0" collapsed="false">
      <c r="A301" s="9" t="n">
        <v>46161</v>
      </c>
      <c r="B301" s="10" t="s">
        <v>756</v>
      </c>
      <c r="C301" s="10" t="s">
        <v>220</v>
      </c>
      <c r="D301" s="9" t="n">
        <v>46150</v>
      </c>
      <c r="E301" s="10" t="s">
        <v>219</v>
      </c>
      <c r="F301" s="10" t="s">
        <v>177</v>
      </c>
      <c r="G301" s="10" t="s">
        <v>142</v>
      </c>
      <c r="H301" s="10"/>
      <c r="I301" s="11" t="s">
        <v>757</v>
      </c>
      <c r="J301" s="10" t="n">
        <f aca="false">IF(COUNTIFS($E$2:E301,E301,$A$2:A301,A301)=1,1,0)</f>
        <v>1</v>
      </c>
    </row>
    <row r="302" customFormat="false" ht="15" hidden="false" customHeight="false" outlineLevel="0" collapsed="false">
      <c r="A302" s="9" t="n">
        <v>46161</v>
      </c>
      <c r="B302" s="10" t="s">
        <v>756</v>
      </c>
      <c r="C302" s="10" t="s">
        <v>744</v>
      </c>
      <c r="D302" s="9" t="n">
        <v>46150</v>
      </c>
      <c r="E302" s="10" t="s">
        <v>20</v>
      </c>
      <c r="F302" s="10" t="s">
        <v>21</v>
      </c>
      <c r="G302" s="10" t="s">
        <v>22</v>
      </c>
      <c r="H302" s="10"/>
      <c r="I302" s="11" t="s">
        <v>757</v>
      </c>
      <c r="J302" s="10" t="n">
        <f aca="false">IF(COUNTIFS($E$2:E302,E302,$A$2:A302,A302)=1,1,0)</f>
        <v>0</v>
      </c>
    </row>
    <row r="303" customFormat="false" ht="15" hidden="false" customHeight="false" outlineLevel="0" collapsed="false">
      <c r="A303" s="9" t="n">
        <v>46161</v>
      </c>
      <c r="B303" s="10" t="s">
        <v>756</v>
      </c>
      <c r="C303" s="10" t="s">
        <v>746</v>
      </c>
      <c r="D303" s="9" t="n">
        <v>46150</v>
      </c>
      <c r="E303" s="10" t="s">
        <v>58</v>
      </c>
      <c r="F303" s="10" t="s">
        <v>21</v>
      </c>
      <c r="G303" s="10" t="s">
        <v>39</v>
      </c>
      <c r="H303" s="10"/>
      <c r="I303" s="11" t="s">
        <v>757</v>
      </c>
      <c r="J303" s="10" t="n">
        <f aca="false">IF(COUNTIFS($E$2:E303,E303,$A$2:A303,A303)=1,1,0)</f>
        <v>1</v>
      </c>
    </row>
    <row r="304" customFormat="false" ht="15" hidden="false" customHeight="false" outlineLevel="0" collapsed="false">
      <c r="A304" s="9" t="n">
        <v>46161</v>
      </c>
      <c r="B304" s="10" t="s">
        <v>756</v>
      </c>
      <c r="C304" s="10" t="s">
        <v>748</v>
      </c>
      <c r="D304" s="9" t="n">
        <v>46151</v>
      </c>
      <c r="E304" s="10" t="s">
        <v>43</v>
      </c>
      <c r="F304" s="10" t="s">
        <v>44</v>
      </c>
      <c r="G304" s="10" t="s">
        <v>45</v>
      </c>
      <c r="H304" s="10" t="s">
        <v>18</v>
      </c>
      <c r="I304" s="11" t="s">
        <v>757</v>
      </c>
      <c r="J304" s="10" t="n">
        <f aca="false">IF(COUNTIFS($E$2:E304,E304,$A$2:A304,A304)=1,1,0)</f>
        <v>1</v>
      </c>
    </row>
    <row r="305" customFormat="false" ht="15" hidden="false" customHeight="false" outlineLevel="0" collapsed="false">
      <c r="A305" s="9" t="n">
        <v>46161</v>
      </c>
      <c r="B305" s="10" t="s">
        <v>756</v>
      </c>
      <c r="C305" s="10" t="s">
        <v>234</v>
      </c>
      <c r="D305" s="9" t="n">
        <v>46151</v>
      </c>
      <c r="E305" s="10" t="s">
        <v>233</v>
      </c>
      <c r="F305" s="10" t="s">
        <v>107</v>
      </c>
      <c r="G305" s="10" t="s">
        <v>39</v>
      </c>
      <c r="H305" s="10"/>
      <c r="I305" s="11" t="s">
        <v>757</v>
      </c>
      <c r="J305" s="10" t="n">
        <f aca="false">IF(COUNTIFS($E$2:E305,E305,$A$2:A305,A305)=1,1,0)</f>
        <v>1</v>
      </c>
    </row>
    <row r="306" customFormat="false" ht="15" hidden="false" customHeight="false" outlineLevel="0" collapsed="false">
      <c r="A306" s="9" t="n">
        <v>46161</v>
      </c>
      <c r="B306" s="10" t="s">
        <v>756</v>
      </c>
      <c r="C306" s="10" t="s">
        <v>759</v>
      </c>
      <c r="D306" s="9" t="n">
        <v>46151</v>
      </c>
      <c r="E306" s="10" t="s">
        <v>38</v>
      </c>
      <c r="F306" s="10" t="s">
        <v>15</v>
      </c>
      <c r="G306" s="10" t="s">
        <v>39</v>
      </c>
      <c r="H306" s="10" t="s">
        <v>24</v>
      </c>
      <c r="I306" s="11" t="s">
        <v>757</v>
      </c>
      <c r="J306" s="10" t="n">
        <f aca="false">IF(COUNTIFS($E$2:E306,E306,$A$2:A306,A306)=1,1,0)</f>
        <v>0</v>
      </c>
    </row>
    <row r="307" customFormat="false" ht="15" hidden="false" customHeight="false" outlineLevel="0" collapsed="false">
      <c r="A307" s="9" t="n">
        <v>46161</v>
      </c>
      <c r="B307" s="10" t="s">
        <v>756</v>
      </c>
      <c r="C307" s="10" t="s">
        <v>712</v>
      </c>
      <c r="D307" s="9" t="n">
        <v>46152</v>
      </c>
      <c r="E307" s="10" t="s">
        <v>71</v>
      </c>
      <c r="F307" s="10" t="s">
        <v>27</v>
      </c>
      <c r="G307" s="10" t="s">
        <v>72</v>
      </c>
      <c r="H307" s="10" t="s">
        <v>84</v>
      </c>
      <c r="I307" s="11" t="s">
        <v>757</v>
      </c>
      <c r="J307" s="10" t="n">
        <f aca="false">IF(COUNTIFS($E$2:E307,E307,$A$2:A307,A307)=1,1,0)</f>
        <v>1</v>
      </c>
    </row>
    <row r="308" customFormat="false" ht="15" hidden="false" customHeight="false" outlineLevel="0" collapsed="false">
      <c r="A308" s="9" t="n">
        <v>46161</v>
      </c>
      <c r="B308" s="10" t="s">
        <v>756</v>
      </c>
      <c r="C308" s="10" t="s">
        <v>89</v>
      </c>
      <c r="D308" s="9" t="n">
        <v>46152</v>
      </c>
      <c r="E308" s="10" t="s">
        <v>86</v>
      </c>
      <c r="F308" s="10" t="s">
        <v>87</v>
      </c>
      <c r="G308" s="10" t="s">
        <v>88</v>
      </c>
      <c r="H308" s="10" t="s">
        <v>90</v>
      </c>
      <c r="I308" s="11" t="s">
        <v>757</v>
      </c>
      <c r="J308" s="10" t="n">
        <f aca="false">IF(COUNTIFS($E$2:E308,E308,$A$2:A308,A308)=1,1,0)</f>
        <v>1</v>
      </c>
    </row>
    <row r="309" customFormat="false" ht="15" hidden="false" customHeight="false" outlineLevel="0" collapsed="false">
      <c r="A309" s="9" t="n">
        <v>46161</v>
      </c>
      <c r="B309" s="10" t="s">
        <v>756</v>
      </c>
      <c r="C309" s="10" t="s">
        <v>208</v>
      </c>
      <c r="D309" s="9" t="n">
        <v>46152</v>
      </c>
      <c r="E309" s="10" t="s">
        <v>206</v>
      </c>
      <c r="F309" s="10" t="s">
        <v>21</v>
      </c>
      <c r="G309" s="10" t="s">
        <v>207</v>
      </c>
      <c r="H309" s="10"/>
      <c r="I309" s="11" t="s">
        <v>757</v>
      </c>
      <c r="J309" s="10" t="n">
        <f aca="false">IF(COUNTIFS($E$2:E309,E309,$A$2:A309,A309)=1,1,0)</f>
        <v>1</v>
      </c>
    </row>
    <row r="310" customFormat="false" ht="15" hidden="false" customHeight="false" outlineLevel="0" collapsed="false">
      <c r="A310" s="9" t="n">
        <v>46161</v>
      </c>
      <c r="B310" s="10" t="s">
        <v>756</v>
      </c>
      <c r="C310" s="10" t="s">
        <v>760</v>
      </c>
      <c r="D310" s="9" t="n">
        <v>46153</v>
      </c>
      <c r="E310" s="10" t="s">
        <v>259</v>
      </c>
      <c r="F310" s="10" t="s">
        <v>107</v>
      </c>
      <c r="G310" s="10" t="s">
        <v>147</v>
      </c>
      <c r="H310" s="10"/>
      <c r="I310" s="11" t="s">
        <v>757</v>
      </c>
      <c r="J310" s="10" t="n">
        <f aca="false">IF(COUNTIFS($E$2:E310,E310,$A$2:A310,A310)=1,1,0)</f>
        <v>1</v>
      </c>
    </row>
    <row r="311" customFormat="false" ht="15" hidden="false" customHeight="false" outlineLevel="0" collapsed="false">
      <c r="A311" s="9" t="n">
        <v>46161</v>
      </c>
      <c r="B311" s="10" t="s">
        <v>756</v>
      </c>
      <c r="C311" s="10" t="s">
        <v>604</v>
      </c>
      <c r="D311" s="9" t="n">
        <v>46154</v>
      </c>
      <c r="E311" s="10" t="s">
        <v>20</v>
      </c>
      <c r="F311" s="10" t="s">
        <v>21</v>
      </c>
      <c r="G311" s="10" t="s">
        <v>22</v>
      </c>
      <c r="H311" s="10" t="s">
        <v>24</v>
      </c>
      <c r="I311" s="11" t="s">
        <v>757</v>
      </c>
      <c r="J311" s="10" t="n">
        <f aca="false">IF(COUNTIFS($E$2:E311,E311,$A$2:A311,A311)=1,1,0)</f>
        <v>0</v>
      </c>
    </row>
    <row r="312" customFormat="false" ht="15" hidden="false" customHeight="false" outlineLevel="0" collapsed="false">
      <c r="A312" s="9" t="n">
        <v>46161</v>
      </c>
      <c r="B312" s="10" t="s">
        <v>756</v>
      </c>
      <c r="C312" s="10" t="s">
        <v>254</v>
      </c>
      <c r="D312" s="9" t="n">
        <v>46154</v>
      </c>
      <c r="E312" s="10" t="s">
        <v>252</v>
      </c>
      <c r="F312" s="10" t="s">
        <v>33</v>
      </c>
      <c r="G312" s="10" t="s">
        <v>253</v>
      </c>
      <c r="H312" s="10"/>
      <c r="I312" s="11" t="s">
        <v>757</v>
      </c>
      <c r="J312" s="10" t="n">
        <f aca="false">IF(COUNTIFS($E$2:E312,E312,$A$2:A312,A312)=1,1,0)</f>
        <v>1</v>
      </c>
    </row>
    <row r="313" customFormat="false" ht="15" hidden="false" customHeight="false" outlineLevel="0" collapsed="false">
      <c r="A313" s="9" t="n">
        <v>46161</v>
      </c>
      <c r="B313" s="10" t="s">
        <v>756</v>
      </c>
      <c r="C313" s="10" t="s">
        <v>30</v>
      </c>
      <c r="D313" s="9" t="n">
        <v>46156</v>
      </c>
      <c r="E313" s="10" t="s">
        <v>26</v>
      </c>
      <c r="F313" s="10" t="s">
        <v>27</v>
      </c>
      <c r="G313" s="10" t="s">
        <v>28</v>
      </c>
      <c r="H313" s="10" t="s">
        <v>30</v>
      </c>
      <c r="I313" s="11" t="s">
        <v>757</v>
      </c>
      <c r="J313" s="10" t="n">
        <f aca="false">IF(COUNTIFS($E$2:E313,E313,$A$2:A313,A313)=1,1,0)</f>
        <v>1</v>
      </c>
    </row>
    <row r="314" customFormat="false" ht="15" hidden="false" customHeight="false" outlineLevel="0" collapsed="false">
      <c r="A314" s="9" t="n">
        <v>46161</v>
      </c>
      <c r="B314" s="10" t="s">
        <v>756</v>
      </c>
      <c r="C314" s="10" t="s">
        <v>329</v>
      </c>
      <c r="D314" s="9" t="n">
        <v>46157</v>
      </c>
      <c r="E314" s="10" t="s">
        <v>328</v>
      </c>
      <c r="F314" s="10" t="s">
        <v>15</v>
      </c>
      <c r="G314" s="10" t="s">
        <v>263</v>
      </c>
      <c r="H314" s="10"/>
      <c r="I314" s="11" t="s">
        <v>757</v>
      </c>
      <c r="J314" s="10" t="n">
        <f aca="false">IF(COUNTIFS($E$2:E314,E314,$A$2:A314,A314)=1,1,0)</f>
        <v>1</v>
      </c>
    </row>
    <row r="315" customFormat="false" ht="15" hidden="false" customHeight="false" outlineLevel="0" collapsed="false">
      <c r="A315" s="9" t="n">
        <v>46161</v>
      </c>
      <c r="B315" s="10" t="s">
        <v>756</v>
      </c>
      <c r="C315" s="10" t="s">
        <v>260</v>
      </c>
      <c r="D315" s="9" t="n">
        <v>46160</v>
      </c>
      <c r="E315" s="10" t="s">
        <v>259</v>
      </c>
      <c r="F315" s="10" t="s">
        <v>107</v>
      </c>
      <c r="G315" s="10" t="s">
        <v>147</v>
      </c>
      <c r="H315" s="10" t="s">
        <v>761</v>
      </c>
      <c r="I315" s="11" t="s">
        <v>757</v>
      </c>
      <c r="J315" s="10" t="n">
        <f aca="false">IF(COUNTIFS($E$2:E315,E315,$A$2:A315,A315)=1,1,0)</f>
        <v>0</v>
      </c>
    </row>
    <row r="316" customFormat="false" ht="15" hidden="false" customHeight="false" outlineLevel="0" collapsed="false">
      <c r="A316" s="9" t="n">
        <v>46161</v>
      </c>
      <c r="B316" s="10" t="s">
        <v>756</v>
      </c>
      <c r="C316" s="10" t="s">
        <v>143</v>
      </c>
      <c r="D316" s="9" t="n">
        <v>46161</v>
      </c>
      <c r="E316" s="10" t="s">
        <v>141</v>
      </c>
      <c r="F316" s="10" t="s">
        <v>107</v>
      </c>
      <c r="G316" s="10" t="s">
        <v>142</v>
      </c>
      <c r="H316" s="10" t="s">
        <v>751</v>
      </c>
      <c r="I316" s="11" t="s">
        <v>757</v>
      </c>
      <c r="J316" s="10" t="n">
        <f aca="false">IF(COUNTIFS($E$2:E316,E316,$A$2:A316,A316)=1,1,0)</f>
        <v>1</v>
      </c>
    </row>
    <row r="317" customFormat="false" ht="15" hidden="false" customHeight="false" outlineLevel="0" collapsed="false">
      <c r="A317" s="9" t="n">
        <v>46161</v>
      </c>
      <c r="B317" s="10" t="s">
        <v>756</v>
      </c>
      <c r="C317" s="10" t="s">
        <v>701</v>
      </c>
      <c r="D317" s="9" t="n">
        <v>46163</v>
      </c>
      <c r="E317" s="10" t="s">
        <v>20</v>
      </c>
      <c r="F317" s="10" t="s">
        <v>21</v>
      </c>
      <c r="G317" s="10" t="s">
        <v>22</v>
      </c>
      <c r="H317" s="10" t="s">
        <v>24</v>
      </c>
      <c r="I317" s="11" t="s">
        <v>757</v>
      </c>
      <c r="J317" s="10" t="n">
        <f aca="false">IF(COUNTIFS($E$2:E317,E317,$A$2:A317,A317)=1,1,0)</f>
        <v>0</v>
      </c>
    </row>
    <row r="318" customFormat="false" ht="15" hidden="false" customHeight="false" outlineLevel="0" collapsed="false">
      <c r="A318" s="9" t="n">
        <v>46161</v>
      </c>
      <c r="B318" s="10" t="s">
        <v>756</v>
      </c>
      <c r="C318" s="10" t="s">
        <v>163</v>
      </c>
      <c r="D318" s="9" t="n">
        <v>46168</v>
      </c>
      <c r="E318" s="10" t="s">
        <v>161</v>
      </c>
      <c r="F318" s="10" t="s">
        <v>21</v>
      </c>
      <c r="G318" s="10" t="s">
        <v>162</v>
      </c>
      <c r="H318" s="10" t="s">
        <v>164</v>
      </c>
      <c r="I318" s="11" t="s">
        <v>757</v>
      </c>
      <c r="J318" s="10" t="n">
        <f aca="false">IF(COUNTIFS($E$2:E318,E318,$A$2:A318,A318)=1,1,0)</f>
        <v>1</v>
      </c>
    </row>
    <row r="319" customFormat="false" ht="15" hidden="false" customHeight="false" outlineLevel="0" collapsed="false">
      <c r="A319" s="9" t="n">
        <v>46161</v>
      </c>
      <c r="B319" s="10" t="s">
        <v>756</v>
      </c>
      <c r="C319" s="10" t="s">
        <v>93</v>
      </c>
      <c r="D319" s="9" t="n">
        <v>46169</v>
      </c>
      <c r="E319" s="10" t="s">
        <v>92</v>
      </c>
      <c r="F319" s="10" t="s">
        <v>27</v>
      </c>
      <c r="G319" s="10" t="s">
        <v>54</v>
      </c>
      <c r="H319" s="10" t="s">
        <v>94</v>
      </c>
      <c r="I319" s="11" t="s">
        <v>757</v>
      </c>
      <c r="J319" s="10" t="n">
        <f aca="false">IF(COUNTIFS($E$2:E319,E319,$A$2:A319,A319)=1,1,0)</f>
        <v>1</v>
      </c>
    </row>
    <row r="320" customFormat="false" ht="15" hidden="false" customHeight="false" outlineLevel="0" collapsed="false">
      <c r="A320" s="9" t="n">
        <v>46161</v>
      </c>
      <c r="B320" s="10" t="s">
        <v>756</v>
      </c>
      <c r="C320" s="10" t="s">
        <v>604</v>
      </c>
      <c r="D320" s="9" t="n">
        <v>46169</v>
      </c>
      <c r="E320" s="10" t="s">
        <v>20</v>
      </c>
      <c r="F320" s="10" t="s">
        <v>21</v>
      </c>
      <c r="G320" s="10" t="s">
        <v>22</v>
      </c>
      <c r="H320" s="10" t="s">
        <v>24</v>
      </c>
      <c r="I320" s="11" t="s">
        <v>757</v>
      </c>
      <c r="J320" s="10" t="n">
        <f aca="false">IF(COUNTIFS($E$2:E320,E320,$A$2:A320,A320)=1,1,0)</f>
        <v>0</v>
      </c>
    </row>
    <row r="321" customFormat="false" ht="15" hidden="false" customHeight="false" outlineLevel="0" collapsed="false">
      <c r="A321" s="9" t="n">
        <v>46161</v>
      </c>
      <c r="B321" s="10" t="s">
        <v>756</v>
      </c>
      <c r="C321" s="10" t="s">
        <v>649</v>
      </c>
      <c r="D321" s="9" t="n">
        <v>46169</v>
      </c>
      <c r="E321" s="10" t="s">
        <v>66</v>
      </c>
      <c r="F321" s="10" t="s">
        <v>33</v>
      </c>
      <c r="G321" s="10" t="s">
        <v>67</v>
      </c>
      <c r="H321" s="10" t="s">
        <v>69</v>
      </c>
      <c r="I321" s="11" t="s">
        <v>757</v>
      </c>
      <c r="J321" s="10" t="n">
        <f aca="false">IF(COUNTIFS($E$2:E321,E321,$A$2:A321,A321)=1,1,0)</f>
        <v>1</v>
      </c>
    </row>
    <row r="322" customFormat="false" ht="15" hidden="false" customHeight="false" outlineLevel="0" collapsed="false">
      <c r="A322" s="9" t="n">
        <v>46161</v>
      </c>
      <c r="B322" s="10" t="s">
        <v>756</v>
      </c>
      <c r="C322" s="10" t="s">
        <v>712</v>
      </c>
      <c r="D322" s="9" t="n">
        <v>46170</v>
      </c>
      <c r="E322" s="10" t="s">
        <v>81</v>
      </c>
      <c r="F322" s="10" t="s">
        <v>15</v>
      </c>
      <c r="G322" s="10" t="s">
        <v>82</v>
      </c>
      <c r="H322" s="10" t="s">
        <v>84</v>
      </c>
      <c r="I322" s="11" t="s">
        <v>757</v>
      </c>
      <c r="J322" s="10" t="n">
        <f aca="false">IF(COUNTIFS($E$2:E322,E322,$A$2:A322,A322)=1,1,0)</f>
        <v>1</v>
      </c>
    </row>
    <row r="323" customFormat="false" ht="15" hidden="false" customHeight="false" outlineLevel="0" collapsed="false">
      <c r="A323" s="9" t="n">
        <v>46161</v>
      </c>
      <c r="B323" s="10" t="s">
        <v>756</v>
      </c>
      <c r="C323" s="10" t="s">
        <v>762</v>
      </c>
      <c r="D323" s="9" t="n">
        <v>46170</v>
      </c>
      <c r="E323" s="10" t="s">
        <v>222</v>
      </c>
      <c r="F323" s="10" t="s">
        <v>154</v>
      </c>
      <c r="G323" s="10" t="s">
        <v>223</v>
      </c>
      <c r="H323" s="10" t="s">
        <v>763</v>
      </c>
      <c r="I323" s="11" t="s">
        <v>757</v>
      </c>
      <c r="J323" s="10" t="n">
        <f aca="false">IF(COUNTIFS($E$2:E323,E323,$A$2:A323,A323)=1,1,0)</f>
        <v>1</v>
      </c>
    </row>
    <row r="324" customFormat="false" ht="15" hidden="false" customHeight="false" outlineLevel="0" collapsed="false">
      <c r="A324" s="9" t="n">
        <v>46161</v>
      </c>
      <c r="B324" s="10" t="s">
        <v>756</v>
      </c>
      <c r="C324" s="10" t="s">
        <v>764</v>
      </c>
      <c r="D324" s="9" t="n">
        <v>46171</v>
      </c>
      <c r="E324" s="10" t="s">
        <v>43</v>
      </c>
      <c r="F324" s="10" t="s">
        <v>44</v>
      </c>
      <c r="G324" s="10" t="s">
        <v>45</v>
      </c>
      <c r="H324" s="10" t="s">
        <v>18</v>
      </c>
      <c r="I324" s="11" t="s">
        <v>757</v>
      </c>
      <c r="J324" s="10" t="n">
        <f aca="false">IF(COUNTIFS($E$2:E324,E324,$A$2:A324,A324)=1,1,0)</f>
        <v>0</v>
      </c>
    </row>
    <row r="325" customFormat="false" ht="15" hidden="false" customHeight="false" outlineLevel="0" collapsed="false">
      <c r="A325" s="9" t="n">
        <v>46161</v>
      </c>
      <c r="B325" s="10" t="s">
        <v>756</v>
      </c>
      <c r="C325" s="10" t="s">
        <v>29</v>
      </c>
      <c r="D325" s="9" t="n">
        <v>46171</v>
      </c>
      <c r="E325" s="10" t="s">
        <v>26</v>
      </c>
      <c r="F325" s="10" t="s">
        <v>27</v>
      </c>
      <c r="G325" s="10" t="s">
        <v>28</v>
      </c>
      <c r="H325" s="10" t="s">
        <v>670</v>
      </c>
      <c r="I325" s="11" t="s">
        <v>757</v>
      </c>
      <c r="J325" s="10" t="n">
        <f aca="false">IF(COUNTIFS($E$2:E325,E325,$A$2:A325,A325)=1,1,0)</f>
        <v>0</v>
      </c>
    </row>
    <row r="326" customFormat="false" ht="15" hidden="false" customHeight="false" outlineLevel="0" collapsed="false">
      <c r="A326" s="9" t="n">
        <v>46161</v>
      </c>
      <c r="B326" s="10" t="s">
        <v>756</v>
      </c>
      <c r="C326" s="10" t="s">
        <v>765</v>
      </c>
      <c r="D326" s="9" t="n">
        <v>46171</v>
      </c>
      <c r="E326" s="10" t="s">
        <v>238</v>
      </c>
      <c r="F326" s="10" t="s">
        <v>107</v>
      </c>
      <c r="G326" s="10" t="s">
        <v>155</v>
      </c>
      <c r="H326" s="10"/>
      <c r="I326" s="11" t="s">
        <v>757</v>
      </c>
      <c r="J326" s="10" t="n">
        <f aca="false">IF(COUNTIFS($E$2:E326,E326,$A$2:A326,A326)=1,1,0)</f>
        <v>1</v>
      </c>
    </row>
    <row r="327" customFormat="false" ht="15" hidden="false" customHeight="false" outlineLevel="0" collapsed="false">
      <c r="A327" s="9" t="n">
        <v>46161</v>
      </c>
      <c r="B327" s="10" t="s">
        <v>756</v>
      </c>
      <c r="C327" s="10" t="s">
        <v>766</v>
      </c>
      <c r="D327" s="9" t="n">
        <v>46171</v>
      </c>
      <c r="E327" s="10" t="s">
        <v>58</v>
      </c>
      <c r="F327" s="10" t="s">
        <v>21</v>
      </c>
      <c r="G327" s="10" t="s">
        <v>39</v>
      </c>
      <c r="H327" s="10" t="s">
        <v>767</v>
      </c>
      <c r="I327" s="11" t="s">
        <v>757</v>
      </c>
      <c r="J327" s="10" t="n">
        <f aca="false">IF(COUNTIFS($E$2:E327,E327,$A$2:A327,A327)=1,1,0)</f>
        <v>0</v>
      </c>
    </row>
    <row r="328" customFormat="false" ht="15" hidden="false" customHeight="false" outlineLevel="0" collapsed="false">
      <c r="A328" s="9" t="n">
        <v>46161</v>
      </c>
      <c r="B328" s="10" t="s">
        <v>756</v>
      </c>
      <c r="C328" s="10" t="s">
        <v>753</v>
      </c>
      <c r="D328" s="9" t="n">
        <v>46172</v>
      </c>
      <c r="E328" s="10" t="s">
        <v>20</v>
      </c>
      <c r="F328" s="10" t="s">
        <v>21</v>
      </c>
      <c r="G328" s="10" t="s">
        <v>22</v>
      </c>
      <c r="H328" s="10" t="s">
        <v>754</v>
      </c>
      <c r="I328" s="11" t="s">
        <v>757</v>
      </c>
      <c r="J328" s="10" t="n">
        <f aca="false">IF(COUNTIFS($E$2:E328,E328,$A$2:A328,A328)=1,1,0)</f>
        <v>0</v>
      </c>
    </row>
    <row r="329" customFormat="false" ht="15" hidden="false" customHeight="false" outlineLevel="0" collapsed="false">
      <c r="A329" s="9" t="n">
        <v>46161</v>
      </c>
      <c r="B329" s="10" t="s">
        <v>756</v>
      </c>
      <c r="C329" s="10" t="s">
        <v>768</v>
      </c>
      <c r="D329" s="9" t="n">
        <v>46173</v>
      </c>
      <c r="E329" s="10" t="s">
        <v>43</v>
      </c>
      <c r="F329" s="10" t="s">
        <v>44</v>
      </c>
      <c r="G329" s="10" t="s">
        <v>45</v>
      </c>
      <c r="H329" s="10" t="s">
        <v>703</v>
      </c>
      <c r="I329" s="11" t="s">
        <v>757</v>
      </c>
      <c r="J329" s="10" t="n">
        <f aca="false">IF(COUNTIFS($E$2:E329,E329,$A$2:A329,A329)=1,1,0)</f>
        <v>0</v>
      </c>
    </row>
    <row r="330" customFormat="false" ht="15" hidden="false" customHeight="false" outlineLevel="0" collapsed="false">
      <c r="A330" s="9" t="n">
        <v>46161</v>
      </c>
      <c r="B330" s="10" t="s">
        <v>756</v>
      </c>
      <c r="C330" s="10" t="s">
        <v>720</v>
      </c>
      <c r="D330" s="9" t="n">
        <v>46173</v>
      </c>
      <c r="E330" s="10" t="s">
        <v>71</v>
      </c>
      <c r="F330" s="10" t="s">
        <v>27</v>
      </c>
      <c r="G330" s="10" t="s">
        <v>72</v>
      </c>
      <c r="H330" s="10" t="s">
        <v>74</v>
      </c>
      <c r="I330" s="11" t="s">
        <v>757</v>
      </c>
      <c r="J330" s="10" t="n">
        <f aca="false">IF(COUNTIFS($E$2:E330,E330,$A$2:A330,A330)=1,1,0)</f>
        <v>0</v>
      </c>
    </row>
    <row r="331" customFormat="false" ht="15" hidden="false" customHeight="false" outlineLevel="0" collapsed="false">
      <c r="A331" s="9" t="n">
        <v>46161</v>
      </c>
      <c r="B331" s="10" t="s">
        <v>756</v>
      </c>
      <c r="C331" s="10" t="s">
        <v>454</v>
      </c>
      <c r="D331" s="9" t="n">
        <v>46173</v>
      </c>
      <c r="E331" s="10" t="s">
        <v>452</v>
      </c>
      <c r="F331" s="10" t="s">
        <v>15</v>
      </c>
      <c r="G331" s="10" t="s">
        <v>453</v>
      </c>
      <c r="H331" s="10"/>
      <c r="I331" s="11" t="s">
        <v>757</v>
      </c>
      <c r="J331" s="10" t="n">
        <f aca="false">IF(COUNTIFS($E$2:E331,E331,$A$2:A331,A331)=1,1,0)</f>
        <v>1</v>
      </c>
    </row>
    <row r="332" customFormat="false" ht="15" hidden="false" customHeight="false" outlineLevel="0" collapsed="false">
      <c r="A332" s="9" t="n">
        <v>46161</v>
      </c>
      <c r="B332" s="10" t="s">
        <v>756</v>
      </c>
      <c r="C332" s="10" t="s">
        <v>644</v>
      </c>
      <c r="D332" s="9" t="n">
        <v>46173</v>
      </c>
      <c r="E332" s="10" t="s">
        <v>48</v>
      </c>
      <c r="F332" s="10" t="s">
        <v>33</v>
      </c>
      <c r="G332" s="10" t="s">
        <v>49</v>
      </c>
      <c r="H332" s="10" t="s">
        <v>51</v>
      </c>
      <c r="I332" s="11" t="s">
        <v>757</v>
      </c>
      <c r="J332" s="10" t="n">
        <f aca="false">IF(COUNTIFS($E$2:E332,E332,$A$2:A332,A332)=1,1,0)</f>
        <v>1</v>
      </c>
    </row>
    <row r="333" customFormat="false" ht="15" hidden="false" customHeight="false" outlineLevel="0" collapsed="false">
      <c r="A333" s="9" t="n">
        <v>46161</v>
      </c>
      <c r="B333" s="10" t="s">
        <v>756</v>
      </c>
      <c r="C333" s="10" t="s">
        <v>769</v>
      </c>
      <c r="D333" s="9" t="n">
        <v>46175</v>
      </c>
      <c r="E333" s="10" t="s">
        <v>194</v>
      </c>
      <c r="F333" s="10" t="s">
        <v>21</v>
      </c>
      <c r="G333" s="10" t="s">
        <v>63</v>
      </c>
      <c r="H333" s="10"/>
      <c r="I333" s="11" t="s">
        <v>757</v>
      </c>
      <c r="J333" s="10" t="n">
        <f aca="false">IF(COUNTIFS($E$2:E333,E333,$A$2:A333,A333)=1,1,0)</f>
        <v>1</v>
      </c>
    </row>
    <row r="334" customFormat="false" ht="15" hidden="false" customHeight="false" outlineLevel="0" collapsed="false">
      <c r="A334" s="9" t="n">
        <v>46174</v>
      </c>
      <c r="B334" s="10" t="s">
        <v>770</v>
      </c>
      <c r="C334" s="10" t="s">
        <v>279</v>
      </c>
      <c r="D334" s="9" t="n">
        <v>46175</v>
      </c>
      <c r="E334" s="10" t="s">
        <v>278</v>
      </c>
      <c r="F334" s="10" t="s">
        <v>107</v>
      </c>
      <c r="G334" s="10" t="s">
        <v>39</v>
      </c>
      <c r="H334" s="10" t="s">
        <v>280</v>
      </c>
      <c r="I334" s="11" t="s">
        <v>771</v>
      </c>
      <c r="J334" s="10" t="n">
        <f aca="false">IF(COUNTIFS($E$2:E334,E334,$A$2:A334,A334)=1,1,0)</f>
        <v>1</v>
      </c>
    </row>
    <row r="335" customFormat="false" ht="15" hidden="false" customHeight="false" outlineLevel="0" collapsed="false">
      <c r="A335" s="9" t="n">
        <v>46174</v>
      </c>
      <c r="B335" s="10" t="s">
        <v>770</v>
      </c>
      <c r="C335" s="10" t="s">
        <v>195</v>
      </c>
      <c r="D335" s="9" t="n">
        <v>46175</v>
      </c>
      <c r="E335" s="10" t="s">
        <v>194</v>
      </c>
      <c r="F335" s="10" t="s">
        <v>21</v>
      </c>
      <c r="G335" s="10" t="s">
        <v>63</v>
      </c>
      <c r="H335" s="10"/>
      <c r="I335" s="11" t="s">
        <v>771</v>
      </c>
      <c r="J335" s="10" t="n">
        <f aca="false">IF(COUNTIFS($E$2:E335,E335,$A$2:A335,A335)=1,1,0)</f>
        <v>1</v>
      </c>
    </row>
    <row r="336" customFormat="false" ht="15" hidden="false" customHeight="false" outlineLevel="0" collapsed="false">
      <c r="A336" s="9" t="n">
        <v>46174</v>
      </c>
      <c r="B336" s="10" t="s">
        <v>770</v>
      </c>
      <c r="C336" s="10" t="s">
        <v>772</v>
      </c>
      <c r="D336" s="9" t="n">
        <v>46176</v>
      </c>
      <c r="E336" s="10" t="s">
        <v>20</v>
      </c>
      <c r="F336" s="10" t="s">
        <v>21</v>
      </c>
      <c r="G336" s="10" t="s">
        <v>22</v>
      </c>
      <c r="H336" s="10" t="s">
        <v>24</v>
      </c>
      <c r="I336" s="11" t="s">
        <v>771</v>
      </c>
      <c r="J336" s="10" t="n">
        <f aca="false">IF(COUNTIFS($E$2:E336,E336,$A$2:A336,A336)=1,1,0)</f>
        <v>1</v>
      </c>
    </row>
    <row r="337" customFormat="false" ht="15" hidden="false" customHeight="false" outlineLevel="0" collapsed="false">
      <c r="A337" s="9" t="n">
        <v>46174</v>
      </c>
      <c r="B337" s="10" t="s">
        <v>770</v>
      </c>
      <c r="C337" s="10" t="s">
        <v>773</v>
      </c>
      <c r="D337" s="9" t="n">
        <v>46177</v>
      </c>
      <c r="E337" s="10" t="s">
        <v>20</v>
      </c>
      <c r="F337" s="10" t="s">
        <v>21</v>
      </c>
      <c r="G337" s="10" t="s">
        <v>22</v>
      </c>
      <c r="H337" s="10" t="s">
        <v>774</v>
      </c>
      <c r="I337" s="11" t="s">
        <v>771</v>
      </c>
      <c r="J337" s="10" t="n">
        <f aca="false">IF(COUNTIFS($E$2:E337,E337,$A$2:A337,A337)=1,1,0)</f>
        <v>0</v>
      </c>
    </row>
    <row r="338" customFormat="false" ht="15" hidden="false" customHeight="false" outlineLevel="0" collapsed="false">
      <c r="A338" s="9" t="n">
        <v>46174</v>
      </c>
      <c r="B338" s="10" t="s">
        <v>770</v>
      </c>
      <c r="C338" s="10" t="s">
        <v>775</v>
      </c>
      <c r="D338" s="9" t="n">
        <v>46178</v>
      </c>
      <c r="E338" s="10" t="s">
        <v>14</v>
      </c>
      <c r="F338" s="10" t="s">
        <v>15</v>
      </c>
      <c r="G338" s="10" t="s">
        <v>16</v>
      </c>
      <c r="H338" s="10" t="s">
        <v>18</v>
      </c>
      <c r="I338" s="11" t="s">
        <v>771</v>
      </c>
      <c r="J338" s="10" t="n">
        <f aca="false">IF(COUNTIFS($E$2:E338,E338,$A$2:A338,A338)=1,1,0)</f>
        <v>1</v>
      </c>
    </row>
    <row r="339" customFormat="false" ht="15" hidden="false" customHeight="false" outlineLevel="0" collapsed="false">
      <c r="A339" s="9" t="n">
        <v>46174</v>
      </c>
      <c r="B339" s="10" t="s">
        <v>770</v>
      </c>
      <c r="C339" s="10" t="s">
        <v>332</v>
      </c>
      <c r="D339" s="9" t="n">
        <v>46179</v>
      </c>
      <c r="E339" s="10" t="s">
        <v>331</v>
      </c>
      <c r="F339" s="10" t="s">
        <v>154</v>
      </c>
      <c r="G339" s="10" t="s">
        <v>39</v>
      </c>
      <c r="H339" s="10"/>
      <c r="I339" s="11" t="s">
        <v>771</v>
      </c>
      <c r="J339" s="10" t="n">
        <f aca="false">IF(COUNTIFS($E$2:E339,E339,$A$2:A339,A339)=1,1,0)</f>
        <v>1</v>
      </c>
    </row>
    <row r="340" customFormat="false" ht="15" hidden="false" customHeight="false" outlineLevel="0" collapsed="false">
      <c r="A340" s="9" t="n">
        <v>46174</v>
      </c>
      <c r="B340" s="10" t="s">
        <v>770</v>
      </c>
      <c r="C340" s="10" t="s">
        <v>340</v>
      </c>
      <c r="D340" s="9" t="n">
        <v>46179</v>
      </c>
      <c r="E340" s="10" t="s">
        <v>339</v>
      </c>
      <c r="F340" s="10" t="s">
        <v>177</v>
      </c>
      <c r="G340" s="10" t="s">
        <v>295</v>
      </c>
      <c r="H340" s="10" t="s">
        <v>341</v>
      </c>
      <c r="I340" s="11" t="s">
        <v>771</v>
      </c>
      <c r="J340" s="10" t="n">
        <f aca="false">IF(COUNTIFS($E$2:E340,E340,$A$2:A340,A340)=1,1,0)</f>
        <v>1</v>
      </c>
    </row>
    <row r="341" customFormat="false" ht="15" hidden="false" customHeight="false" outlineLevel="0" collapsed="false">
      <c r="A341" s="9" t="n">
        <v>46174</v>
      </c>
      <c r="B341" s="10" t="s">
        <v>770</v>
      </c>
      <c r="C341" s="10" t="s">
        <v>776</v>
      </c>
      <c r="D341" s="9" t="n">
        <v>46181</v>
      </c>
      <c r="E341" s="10" t="s">
        <v>146</v>
      </c>
      <c r="F341" s="10" t="s">
        <v>107</v>
      </c>
      <c r="G341" s="10" t="s">
        <v>147</v>
      </c>
      <c r="H341" s="10" t="s">
        <v>149</v>
      </c>
      <c r="I341" s="11" t="s">
        <v>771</v>
      </c>
      <c r="J341" s="10" t="n">
        <f aca="false">IF(COUNTIFS($E$2:E341,E341,$A$2:A341,A341)=1,1,0)</f>
        <v>1</v>
      </c>
    </row>
    <row r="342" customFormat="false" ht="15" hidden="false" customHeight="false" outlineLevel="0" collapsed="false">
      <c r="A342" s="9" t="n">
        <v>46174</v>
      </c>
      <c r="B342" s="10" t="s">
        <v>770</v>
      </c>
      <c r="C342" s="10" t="s">
        <v>777</v>
      </c>
      <c r="D342" s="9" t="n">
        <v>46181</v>
      </c>
      <c r="E342" s="10" t="s">
        <v>58</v>
      </c>
      <c r="F342" s="10" t="s">
        <v>21</v>
      </c>
      <c r="G342" s="10" t="s">
        <v>39</v>
      </c>
      <c r="H342" s="10" t="s">
        <v>401</v>
      </c>
      <c r="I342" s="11" t="s">
        <v>771</v>
      </c>
      <c r="J342" s="10" t="n">
        <f aca="false">IF(COUNTIFS($E$2:E342,E342,$A$2:A342,A342)=1,1,0)</f>
        <v>1</v>
      </c>
    </row>
    <row r="343" customFormat="false" ht="15" hidden="false" customHeight="false" outlineLevel="0" collapsed="false">
      <c r="A343" s="9" t="n">
        <v>46174</v>
      </c>
      <c r="B343" s="10" t="s">
        <v>770</v>
      </c>
      <c r="C343" s="10" t="s">
        <v>778</v>
      </c>
      <c r="D343" s="9" t="n">
        <v>46184</v>
      </c>
      <c r="E343" s="10" t="s">
        <v>43</v>
      </c>
      <c r="F343" s="10" t="s">
        <v>44</v>
      </c>
      <c r="G343" s="10" t="s">
        <v>45</v>
      </c>
      <c r="H343" s="10" t="s">
        <v>18</v>
      </c>
      <c r="I343" s="11" t="s">
        <v>771</v>
      </c>
      <c r="J343" s="10" t="n">
        <f aca="false">IF(COUNTIFS($E$2:E343,E343,$A$2:A343,A343)=1,1,0)</f>
        <v>1</v>
      </c>
    </row>
    <row r="344" customFormat="false" ht="15" hidden="false" customHeight="false" outlineLevel="0" collapsed="false">
      <c r="A344" s="9" t="n">
        <v>46174</v>
      </c>
      <c r="B344" s="10" t="s">
        <v>770</v>
      </c>
      <c r="C344" s="10" t="s">
        <v>779</v>
      </c>
      <c r="D344" s="9" t="n">
        <v>46186</v>
      </c>
      <c r="E344" s="10" t="s">
        <v>43</v>
      </c>
      <c r="F344" s="10" t="s">
        <v>44</v>
      </c>
      <c r="G344" s="10" t="s">
        <v>45</v>
      </c>
      <c r="H344" s="10" t="s">
        <v>18</v>
      </c>
      <c r="I344" s="11" t="s">
        <v>771</v>
      </c>
      <c r="J344" s="10" t="n">
        <f aca="false">IF(COUNTIFS($E$2:E344,E344,$A$2:A344,A344)=1,1,0)</f>
        <v>0</v>
      </c>
    </row>
    <row r="345" customFormat="false" ht="15" hidden="false" customHeight="false" outlineLevel="0" collapsed="false">
      <c r="A345" s="9" t="n">
        <v>46174</v>
      </c>
      <c r="B345" s="10" t="s">
        <v>770</v>
      </c>
      <c r="C345" s="10" t="s">
        <v>780</v>
      </c>
      <c r="D345" s="9" t="n">
        <v>46186</v>
      </c>
      <c r="E345" s="10" t="s">
        <v>81</v>
      </c>
      <c r="F345" s="10" t="s">
        <v>15</v>
      </c>
      <c r="G345" s="10" t="s">
        <v>82</v>
      </c>
      <c r="H345" s="10" t="s">
        <v>781</v>
      </c>
      <c r="I345" s="11" t="s">
        <v>771</v>
      </c>
      <c r="J345" s="10" t="n">
        <f aca="false">IF(COUNTIFS($E$2:E345,E345,$A$2:A345,A345)=1,1,0)</f>
        <v>1</v>
      </c>
    </row>
    <row r="346" customFormat="false" ht="15" hidden="false" customHeight="false" outlineLevel="0" collapsed="false">
      <c r="A346" s="9" t="n">
        <v>46174</v>
      </c>
      <c r="B346" s="10" t="s">
        <v>770</v>
      </c>
      <c r="C346" s="10" t="s">
        <v>782</v>
      </c>
      <c r="D346" s="9" t="n">
        <v>46186</v>
      </c>
      <c r="E346" s="10" t="s">
        <v>20</v>
      </c>
      <c r="F346" s="10" t="s">
        <v>21</v>
      </c>
      <c r="G346" s="10" t="s">
        <v>22</v>
      </c>
      <c r="H346" s="10" t="s">
        <v>24</v>
      </c>
      <c r="I346" s="11" t="s">
        <v>771</v>
      </c>
      <c r="J346" s="10" t="n">
        <f aca="false">IF(COUNTIFS($E$2:E346,E346,$A$2:A346,A346)=1,1,0)</f>
        <v>0</v>
      </c>
    </row>
    <row r="347" customFormat="false" ht="15" hidden="false" customHeight="false" outlineLevel="0" collapsed="false">
      <c r="A347" s="9" t="n">
        <v>46174</v>
      </c>
      <c r="B347" s="10" t="s">
        <v>770</v>
      </c>
      <c r="C347" s="10" t="s">
        <v>783</v>
      </c>
      <c r="D347" s="9" t="n">
        <v>46191</v>
      </c>
      <c r="E347" s="10" t="s">
        <v>26</v>
      </c>
      <c r="F347" s="10" t="s">
        <v>27</v>
      </c>
      <c r="G347" s="10" t="s">
        <v>28</v>
      </c>
      <c r="H347" s="10" t="s">
        <v>30</v>
      </c>
      <c r="I347" s="11" t="s">
        <v>771</v>
      </c>
      <c r="J347" s="10" t="n">
        <f aca="false">IF(COUNTIFS($E$2:E347,E347,$A$2:A347,A347)=1,1,0)</f>
        <v>1</v>
      </c>
    </row>
    <row r="348" customFormat="false" ht="15" hidden="false" customHeight="false" outlineLevel="0" collapsed="false">
      <c r="A348" s="9" t="n">
        <v>46174</v>
      </c>
      <c r="B348" s="10" t="s">
        <v>770</v>
      </c>
      <c r="C348" s="10" t="s">
        <v>720</v>
      </c>
      <c r="D348" s="9" t="n">
        <v>46194</v>
      </c>
      <c r="E348" s="10" t="s">
        <v>71</v>
      </c>
      <c r="F348" s="10" t="s">
        <v>27</v>
      </c>
      <c r="G348" s="10" t="s">
        <v>72</v>
      </c>
      <c r="H348" s="10" t="s">
        <v>74</v>
      </c>
      <c r="I348" s="11" t="s">
        <v>771</v>
      </c>
      <c r="J348" s="10" t="n">
        <f aca="false">IF(COUNTIFS($E$2:E348,E348,$A$2:A348,A348)=1,1,0)</f>
        <v>1</v>
      </c>
    </row>
    <row r="349" customFormat="false" ht="15" hidden="false" customHeight="false" outlineLevel="0" collapsed="false">
      <c r="A349" s="9" t="n">
        <v>46174</v>
      </c>
      <c r="B349" s="10" t="s">
        <v>770</v>
      </c>
      <c r="C349" s="10" t="s">
        <v>163</v>
      </c>
      <c r="D349" s="9" t="n">
        <v>46196</v>
      </c>
      <c r="E349" s="10" t="s">
        <v>161</v>
      </c>
      <c r="F349" s="10" t="s">
        <v>21</v>
      </c>
      <c r="G349" s="10" t="s">
        <v>162</v>
      </c>
      <c r="H349" s="10" t="s">
        <v>164</v>
      </c>
      <c r="I349" s="11" t="s">
        <v>771</v>
      </c>
      <c r="J349" s="10" t="n">
        <f aca="false">IF(COUNTIFS($E$2:E349,E349,$A$2:A349,A349)=1,1,0)</f>
        <v>1</v>
      </c>
    </row>
    <row r="350" customFormat="false" ht="15" hidden="false" customHeight="false" outlineLevel="0" collapsed="false">
      <c r="A350" s="9" t="n">
        <v>46174</v>
      </c>
      <c r="B350" s="10" t="s">
        <v>770</v>
      </c>
      <c r="C350" s="10" t="s">
        <v>784</v>
      </c>
      <c r="D350" s="9" t="n">
        <v>46196</v>
      </c>
      <c r="E350" s="10" t="s">
        <v>20</v>
      </c>
      <c r="F350" s="10" t="s">
        <v>21</v>
      </c>
      <c r="G350" s="10" t="s">
        <v>22</v>
      </c>
      <c r="H350" s="10" t="s">
        <v>24</v>
      </c>
      <c r="I350" s="11" t="s">
        <v>771</v>
      </c>
      <c r="J350" s="10" t="n">
        <f aca="false">IF(COUNTIFS($E$2:E350,E350,$A$2:A350,A350)=1,1,0)</f>
        <v>0</v>
      </c>
    </row>
    <row r="351" customFormat="false" ht="15" hidden="false" customHeight="false" outlineLevel="0" collapsed="false">
      <c r="A351" s="9" t="n">
        <v>46174</v>
      </c>
      <c r="B351" s="10" t="s">
        <v>770</v>
      </c>
      <c r="C351" s="10" t="s">
        <v>785</v>
      </c>
      <c r="D351" s="9" t="n">
        <v>46196</v>
      </c>
      <c r="E351" s="10" t="s">
        <v>14</v>
      </c>
      <c r="F351" s="10" t="s">
        <v>15</v>
      </c>
      <c r="G351" s="10" t="s">
        <v>16</v>
      </c>
      <c r="H351" s="10" t="s">
        <v>18</v>
      </c>
      <c r="I351" s="11" t="s">
        <v>771</v>
      </c>
      <c r="J351" s="10" t="n">
        <f aca="false">IF(COUNTIFS($E$2:E351,E351,$A$2:A351,A351)=1,1,0)</f>
        <v>0</v>
      </c>
    </row>
    <row r="352" customFormat="false" ht="15" hidden="false" customHeight="false" outlineLevel="0" collapsed="false">
      <c r="A352" s="9" t="n">
        <v>46174</v>
      </c>
      <c r="B352" s="10" t="s">
        <v>770</v>
      </c>
      <c r="C352" s="10" t="s">
        <v>93</v>
      </c>
      <c r="D352" s="9" t="n">
        <v>46197</v>
      </c>
      <c r="E352" s="10" t="s">
        <v>92</v>
      </c>
      <c r="F352" s="10" t="s">
        <v>27</v>
      </c>
      <c r="G352" s="10" t="s">
        <v>54</v>
      </c>
      <c r="H352" s="10" t="s">
        <v>94</v>
      </c>
      <c r="I352" s="11" t="s">
        <v>771</v>
      </c>
      <c r="J352" s="10" t="n">
        <f aca="false">IF(COUNTIFS($E$2:E352,E352,$A$2:A352,A352)=1,1,0)</f>
        <v>1</v>
      </c>
    </row>
    <row r="353" customFormat="false" ht="15" hidden="false" customHeight="false" outlineLevel="0" collapsed="false">
      <c r="A353" s="9" t="n">
        <v>46174</v>
      </c>
      <c r="B353" s="10" t="s">
        <v>770</v>
      </c>
      <c r="C353" s="10" t="s">
        <v>126</v>
      </c>
      <c r="D353" s="9" t="n">
        <v>46197</v>
      </c>
      <c r="E353" s="10" t="s">
        <v>125</v>
      </c>
      <c r="F353" s="10" t="s">
        <v>107</v>
      </c>
      <c r="G353" s="10" t="s">
        <v>39</v>
      </c>
      <c r="H353" s="10"/>
      <c r="I353" s="11" t="s">
        <v>771</v>
      </c>
      <c r="J353" s="10" t="n">
        <f aca="false">IF(COUNTIFS($E$2:E353,E353,$A$2:A353,A353)=1,1,0)</f>
        <v>1</v>
      </c>
    </row>
    <row r="354" customFormat="false" ht="15" hidden="false" customHeight="false" outlineLevel="0" collapsed="false">
      <c r="A354" s="9" t="n">
        <v>46174</v>
      </c>
      <c r="B354" s="10" t="s">
        <v>770</v>
      </c>
      <c r="C354" s="10" t="s">
        <v>786</v>
      </c>
      <c r="D354" s="9" t="n">
        <v>46198</v>
      </c>
      <c r="E354" s="10" t="s">
        <v>32</v>
      </c>
      <c r="F354" s="10" t="s">
        <v>33</v>
      </c>
      <c r="G354" s="10" t="s">
        <v>34</v>
      </c>
      <c r="H354" s="10" t="s">
        <v>36</v>
      </c>
      <c r="I354" s="11" t="s">
        <v>771</v>
      </c>
      <c r="J354" s="10" t="n">
        <f aca="false">IF(COUNTIFS($E$2:E354,E354,$A$2:A354,A354)=1,1,0)</f>
        <v>1</v>
      </c>
    </row>
    <row r="355" customFormat="false" ht="15" hidden="false" customHeight="false" outlineLevel="0" collapsed="false">
      <c r="A355" s="9" t="n">
        <v>46174</v>
      </c>
      <c r="B355" s="10" t="s">
        <v>770</v>
      </c>
      <c r="C355" s="10" t="s">
        <v>787</v>
      </c>
      <c r="D355" s="9" t="n">
        <v>46198</v>
      </c>
      <c r="E355" s="10" t="s">
        <v>53</v>
      </c>
      <c r="F355" s="10" t="s">
        <v>15</v>
      </c>
      <c r="G355" s="10" t="s">
        <v>54</v>
      </c>
      <c r="H355" s="10" t="s">
        <v>115</v>
      </c>
      <c r="I355" s="11" t="s">
        <v>771</v>
      </c>
      <c r="J355" s="10" t="n">
        <f aca="false">IF(COUNTIFS($E$2:E355,E355,$A$2:A355,A355)=1,1,0)</f>
        <v>1</v>
      </c>
    </row>
    <row r="356" customFormat="false" ht="15" hidden="false" customHeight="false" outlineLevel="0" collapsed="false">
      <c r="A356" s="9" t="n">
        <v>46174</v>
      </c>
      <c r="B356" s="10" t="s">
        <v>770</v>
      </c>
      <c r="C356" s="10" t="s">
        <v>29</v>
      </c>
      <c r="D356" s="9" t="n">
        <v>46199</v>
      </c>
      <c r="E356" s="10" t="s">
        <v>26</v>
      </c>
      <c r="F356" s="10" t="s">
        <v>27</v>
      </c>
      <c r="G356" s="10" t="s">
        <v>28</v>
      </c>
      <c r="H356" s="10" t="s">
        <v>670</v>
      </c>
      <c r="I356" s="11" t="s">
        <v>771</v>
      </c>
      <c r="J356" s="10" t="n">
        <f aca="false">IF(COUNTIFS($E$2:E356,E356,$A$2:A356,A356)=1,1,0)</f>
        <v>0</v>
      </c>
    </row>
    <row r="357" customFormat="false" ht="15" hidden="false" customHeight="false" outlineLevel="0" collapsed="false">
      <c r="A357" s="9" t="n">
        <v>46174</v>
      </c>
      <c r="B357" s="10" t="s">
        <v>770</v>
      </c>
      <c r="C357" s="10" t="s">
        <v>239</v>
      </c>
      <c r="D357" s="9" t="n">
        <v>46199</v>
      </c>
      <c r="E357" s="10" t="s">
        <v>238</v>
      </c>
      <c r="F357" s="10" t="s">
        <v>107</v>
      </c>
      <c r="G357" s="10" t="s">
        <v>155</v>
      </c>
      <c r="H357" s="10"/>
      <c r="I357" s="11" t="s">
        <v>771</v>
      </c>
      <c r="J357" s="10" t="n">
        <f aca="false">IF(COUNTIFS($E$2:E357,E357,$A$2:A357,A357)=1,1,0)</f>
        <v>1</v>
      </c>
    </row>
    <row r="358" customFormat="false" ht="15" hidden="false" customHeight="false" outlineLevel="0" collapsed="false">
      <c r="A358" s="9" t="n">
        <v>46174</v>
      </c>
      <c r="B358" s="10" t="s">
        <v>770</v>
      </c>
      <c r="C358" s="10" t="s">
        <v>192</v>
      </c>
      <c r="D358" s="9" t="n">
        <v>46200</v>
      </c>
      <c r="E358" s="10" t="s">
        <v>189</v>
      </c>
      <c r="F358" s="10" t="s">
        <v>190</v>
      </c>
      <c r="G358" s="10" t="s">
        <v>191</v>
      </c>
      <c r="H358" s="10" t="s">
        <v>193</v>
      </c>
      <c r="I358" s="11" t="s">
        <v>771</v>
      </c>
      <c r="J358" s="10" t="n">
        <f aca="false">IF(COUNTIFS($E$2:E358,E358,$A$2:A358,A358)=1,1,0)</f>
        <v>1</v>
      </c>
    </row>
    <row r="359" customFormat="false" ht="15" hidden="false" customHeight="false" outlineLevel="0" collapsed="false">
      <c r="A359" s="9" t="n">
        <v>46174</v>
      </c>
      <c r="B359" s="10" t="s">
        <v>770</v>
      </c>
      <c r="C359" s="10" t="s">
        <v>788</v>
      </c>
      <c r="D359" s="9" t="n">
        <v>46201</v>
      </c>
      <c r="E359" s="10" t="s">
        <v>14</v>
      </c>
      <c r="F359" s="10" t="s">
        <v>15</v>
      </c>
      <c r="G359" s="10" t="s">
        <v>16</v>
      </c>
      <c r="H359" s="10" t="s">
        <v>18</v>
      </c>
      <c r="I359" s="11" t="s">
        <v>771</v>
      </c>
      <c r="J359" s="10" t="n">
        <f aca="false">IF(COUNTIFS($E$2:E359,E359,$A$2:A359,A359)=1,1,0)</f>
        <v>0</v>
      </c>
    </row>
    <row r="360" customFormat="false" ht="15" hidden="false" customHeight="false" outlineLevel="0" collapsed="false">
      <c r="A360" s="9" t="n">
        <v>46174</v>
      </c>
      <c r="B360" s="10" t="s">
        <v>770</v>
      </c>
      <c r="C360" s="10" t="s">
        <v>789</v>
      </c>
      <c r="D360" s="9" t="n">
        <v>46201</v>
      </c>
      <c r="E360" s="10" t="s">
        <v>14</v>
      </c>
      <c r="F360" s="10" t="s">
        <v>15</v>
      </c>
      <c r="G360" s="10" t="s">
        <v>16</v>
      </c>
      <c r="H360" s="10" t="s">
        <v>18</v>
      </c>
      <c r="I360" s="11" t="s">
        <v>771</v>
      </c>
      <c r="J360" s="10" t="n">
        <f aca="false">IF(COUNTIFS($E$2:E360,E360,$A$2:A360,A360)=1,1,0)</f>
        <v>0</v>
      </c>
    </row>
    <row r="361" customFormat="false" ht="15" hidden="false" customHeight="false" outlineLevel="0" collapsed="false">
      <c r="A361" s="9" t="n">
        <v>46174</v>
      </c>
      <c r="B361" s="10" t="s">
        <v>770</v>
      </c>
      <c r="C361" s="10" t="s">
        <v>790</v>
      </c>
      <c r="D361" s="9" t="n">
        <v>46202</v>
      </c>
      <c r="E361" s="10" t="s">
        <v>150</v>
      </c>
      <c r="F361" s="10" t="s">
        <v>15</v>
      </c>
      <c r="G361" s="10" t="s">
        <v>16</v>
      </c>
      <c r="H361" s="10"/>
      <c r="I361" s="11" t="s">
        <v>771</v>
      </c>
      <c r="J361" s="10" t="n">
        <f aca="false">IF(COUNTIFS($E$2:E361,E361,$A$2:A361,A361)=1,1,0)</f>
        <v>1</v>
      </c>
    </row>
    <row r="362" customFormat="false" ht="15" hidden="false" customHeight="false" outlineLevel="0" collapsed="false">
      <c r="A362" s="9" t="n">
        <v>46174</v>
      </c>
      <c r="B362" s="10" t="s">
        <v>770</v>
      </c>
      <c r="C362" s="10" t="s">
        <v>791</v>
      </c>
      <c r="D362" s="9" t="n">
        <v>46203</v>
      </c>
      <c r="E362" s="10" t="s">
        <v>129</v>
      </c>
      <c r="F362" s="10" t="s">
        <v>87</v>
      </c>
      <c r="G362" s="10" t="s">
        <v>54</v>
      </c>
      <c r="H362" s="10"/>
      <c r="I362" s="11" t="s">
        <v>771</v>
      </c>
      <c r="J362" s="10" t="n">
        <f aca="false">IF(COUNTIFS($E$2:E362,E362,$A$2:A362,A362)=1,1,0)</f>
        <v>1</v>
      </c>
    </row>
    <row r="363" customFormat="false" ht="15" hidden="false" customHeight="false" outlineLevel="0" collapsed="false">
      <c r="A363" s="9" t="n">
        <v>46174</v>
      </c>
      <c r="B363" s="10" t="s">
        <v>770</v>
      </c>
      <c r="C363" s="10" t="s">
        <v>649</v>
      </c>
      <c r="D363" s="9" t="n">
        <v>46204</v>
      </c>
      <c r="E363" s="10" t="s">
        <v>66</v>
      </c>
      <c r="F363" s="10" t="s">
        <v>33</v>
      </c>
      <c r="G363" s="10" t="s">
        <v>67</v>
      </c>
      <c r="H363" s="10" t="s">
        <v>69</v>
      </c>
      <c r="I363" s="11" t="s">
        <v>771</v>
      </c>
      <c r="J363" s="10" t="n">
        <f aca="false">IF(COUNTIFS($E$2:E363,E363,$A$2:A363,A363)=1,1,0)</f>
        <v>1</v>
      </c>
    </row>
    <row r="364" customFormat="false" ht="15" hidden="false" customHeight="false" outlineLevel="0" collapsed="false">
      <c r="A364" s="9" t="n">
        <v>46174</v>
      </c>
      <c r="B364" s="10" t="s">
        <v>770</v>
      </c>
      <c r="C364" s="10" t="s">
        <v>650</v>
      </c>
      <c r="D364" s="9" t="n">
        <v>46205</v>
      </c>
      <c r="E364" s="10" t="s">
        <v>43</v>
      </c>
      <c r="F364" s="10" t="s">
        <v>44</v>
      </c>
      <c r="G364" s="10" t="s">
        <v>45</v>
      </c>
      <c r="H364" s="10"/>
      <c r="I364" s="11" t="s">
        <v>771</v>
      </c>
      <c r="J364" s="10" t="n">
        <f aca="false">IF(COUNTIFS($E$2:E364,E364,$A$2:A364,A364)=1,1,0)</f>
        <v>0</v>
      </c>
    </row>
    <row r="365" customFormat="false" ht="15" hidden="false" customHeight="false" outlineLevel="0" collapsed="false">
      <c r="A365" s="9" t="n">
        <v>46174</v>
      </c>
      <c r="B365" s="10" t="s">
        <v>770</v>
      </c>
      <c r="C365" s="10" t="s">
        <v>727</v>
      </c>
      <c r="D365" s="9" t="n">
        <v>46206</v>
      </c>
      <c r="E365" s="10" t="s">
        <v>14</v>
      </c>
      <c r="F365" s="10" t="s">
        <v>15</v>
      </c>
      <c r="G365" s="10" t="s">
        <v>16</v>
      </c>
      <c r="H365" s="10" t="s">
        <v>18</v>
      </c>
      <c r="I365" s="11" t="s">
        <v>771</v>
      </c>
      <c r="J365" s="10" t="n">
        <f aca="false">IF(COUNTIFS($E$2:E365,E365,$A$2:A365,A365)=1,1,0)</f>
        <v>0</v>
      </c>
    </row>
    <row r="366" customFormat="false" ht="15" hidden="false" customHeight="false" outlineLevel="0" collapsed="false">
      <c r="A366" s="9" t="n">
        <v>46174</v>
      </c>
      <c r="B366" s="10" t="s">
        <v>770</v>
      </c>
      <c r="C366" s="10" t="s">
        <v>665</v>
      </c>
      <c r="D366" s="9" t="n">
        <v>46206</v>
      </c>
      <c r="E366" s="10" t="s">
        <v>58</v>
      </c>
      <c r="F366" s="10" t="s">
        <v>21</v>
      </c>
      <c r="G366" s="10" t="s">
        <v>39</v>
      </c>
      <c r="H366" s="10" t="s">
        <v>60</v>
      </c>
      <c r="I366" s="11" t="s">
        <v>771</v>
      </c>
      <c r="J366" s="10" t="n">
        <f aca="false">IF(COUNTIFS($E$2:E366,E366,$A$2:A366,A366)=1,1,0)</f>
        <v>0</v>
      </c>
    </row>
    <row r="367" customFormat="false" ht="15" hidden="false" customHeight="false" outlineLevel="0" collapsed="false">
      <c r="A367" s="9" t="n">
        <v>46174</v>
      </c>
      <c r="B367" s="10" t="s">
        <v>770</v>
      </c>
      <c r="C367" s="10" t="s">
        <v>792</v>
      </c>
      <c r="D367" s="9" t="n">
        <v>46207</v>
      </c>
      <c r="E367" s="10" t="s">
        <v>14</v>
      </c>
      <c r="F367" s="10" t="s">
        <v>15</v>
      </c>
      <c r="G367" s="10" t="s">
        <v>16</v>
      </c>
      <c r="H367" s="10" t="s">
        <v>18</v>
      </c>
      <c r="I367" s="11" t="s">
        <v>771</v>
      </c>
      <c r="J367" s="10" t="n">
        <f aca="false">IF(COUNTIFS($E$2:E367,E367,$A$2:A367,A367)=1,1,0)</f>
        <v>0</v>
      </c>
    </row>
    <row r="368" customFormat="false" ht="15" hidden="false" customHeight="false" outlineLevel="0" collapsed="false">
      <c r="A368" s="9" t="n">
        <v>46187</v>
      </c>
      <c r="B368" s="10" t="s">
        <v>793</v>
      </c>
      <c r="C368" s="10" t="s">
        <v>279</v>
      </c>
      <c r="D368" s="9" t="n">
        <v>46175</v>
      </c>
      <c r="E368" s="10" t="s">
        <v>278</v>
      </c>
      <c r="F368" s="10" t="s">
        <v>107</v>
      </c>
      <c r="G368" s="10" t="s">
        <v>39</v>
      </c>
      <c r="H368" s="10"/>
      <c r="I368" s="11" t="s">
        <v>794</v>
      </c>
      <c r="J368" s="10" t="n">
        <f aca="false">IF(COUNTIFS($E$2:E368,E368,$A$2:A368,A368)=1,1,0)</f>
        <v>1</v>
      </c>
    </row>
    <row r="369" customFormat="false" ht="15" hidden="false" customHeight="false" outlineLevel="0" collapsed="false">
      <c r="A369" s="9" t="n">
        <v>46187</v>
      </c>
      <c r="B369" s="10" t="s">
        <v>793</v>
      </c>
      <c r="C369" s="10" t="s">
        <v>195</v>
      </c>
      <c r="D369" s="9" t="n">
        <v>46175</v>
      </c>
      <c r="E369" s="10" t="s">
        <v>194</v>
      </c>
      <c r="F369" s="10" t="s">
        <v>21</v>
      </c>
      <c r="G369" s="10" t="s">
        <v>63</v>
      </c>
      <c r="H369" s="10"/>
      <c r="I369" s="11" t="s">
        <v>794</v>
      </c>
      <c r="J369" s="10" t="n">
        <f aca="false">IF(COUNTIFS($E$2:E369,E369,$A$2:A369,A369)=1,1,0)</f>
        <v>1</v>
      </c>
    </row>
    <row r="370" customFormat="false" ht="15" hidden="false" customHeight="false" outlineLevel="0" collapsed="false">
      <c r="A370" s="9" t="n">
        <v>46187</v>
      </c>
      <c r="B370" s="10" t="s">
        <v>793</v>
      </c>
      <c r="C370" s="10" t="s">
        <v>772</v>
      </c>
      <c r="D370" s="9" t="n">
        <v>46176</v>
      </c>
      <c r="E370" s="10" t="s">
        <v>20</v>
      </c>
      <c r="F370" s="10" t="s">
        <v>21</v>
      </c>
      <c r="G370" s="10" t="s">
        <v>22</v>
      </c>
      <c r="H370" s="10" t="s">
        <v>24</v>
      </c>
      <c r="I370" s="11" t="s">
        <v>794</v>
      </c>
      <c r="J370" s="10" t="n">
        <f aca="false">IF(COUNTIFS($E$2:E370,E370,$A$2:A370,A370)=1,1,0)</f>
        <v>1</v>
      </c>
    </row>
    <row r="371" customFormat="false" ht="15" hidden="false" customHeight="false" outlineLevel="0" collapsed="false">
      <c r="A371" s="9" t="n">
        <v>46187</v>
      </c>
      <c r="B371" s="10" t="s">
        <v>793</v>
      </c>
      <c r="C371" s="10" t="s">
        <v>795</v>
      </c>
      <c r="D371" s="9" t="n">
        <v>46177</v>
      </c>
      <c r="E371" s="10" t="s">
        <v>20</v>
      </c>
      <c r="F371" s="10" t="s">
        <v>21</v>
      </c>
      <c r="G371" s="10" t="s">
        <v>22</v>
      </c>
      <c r="H371" s="10"/>
      <c r="I371" s="11" t="s">
        <v>794</v>
      </c>
      <c r="J371" s="10" t="n">
        <f aca="false">IF(COUNTIFS($E$2:E371,E371,$A$2:A371,A371)=1,1,0)</f>
        <v>0</v>
      </c>
    </row>
    <row r="372" customFormat="false" ht="15" hidden="false" customHeight="false" outlineLevel="0" collapsed="false">
      <c r="A372" s="9" t="n">
        <v>46187</v>
      </c>
      <c r="B372" s="10" t="s">
        <v>793</v>
      </c>
      <c r="C372" s="10" t="s">
        <v>775</v>
      </c>
      <c r="D372" s="9" t="n">
        <v>46178</v>
      </c>
      <c r="E372" s="10" t="s">
        <v>14</v>
      </c>
      <c r="F372" s="10" t="s">
        <v>15</v>
      </c>
      <c r="G372" s="10" t="s">
        <v>16</v>
      </c>
      <c r="H372" s="10"/>
      <c r="I372" s="11" t="s">
        <v>794</v>
      </c>
      <c r="J372" s="10" t="n">
        <f aca="false">IF(COUNTIFS($E$2:E372,E372,$A$2:A372,A372)=1,1,0)</f>
        <v>1</v>
      </c>
    </row>
    <row r="373" customFormat="false" ht="15" hidden="false" customHeight="false" outlineLevel="0" collapsed="false">
      <c r="A373" s="9" t="n">
        <v>46187</v>
      </c>
      <c r="B373" s="10" t="s">
        <v>793</v>
      </c>
      <c r="C373" s="10" t="s">
        <v>332</v>
      </c>
      <c r="D373" s="9" t="n">
        <v>46179</v>
      </c>
      <c r="E373" s="10" t="s">
        <v>331</v>
      </c>
      <c r="F373" s="10" t="s">
        <v>154</v>
      </c>
      <c r="G373" s="10" t="s">
        <v>39</v>
      </c>
      <c r="H373" s="10"/>
      <c r="I373" s="11" t="s">
        <v>794</v>
      </c>
      <c r="J373" s="10" t="n">
        <f aca="false">IF(COUNTIFS($E$2:E373,E373,$A$2:A373,A373)=1,1,0)</f>
        <v>1</v>
      </c>
    </row>
    <row r="374" customFormat="false" ht="15" hidden="false" customHeight="false" outlineLevel="0" collapsed="false">
      <c r="A374" s="9" t="n">
        <v>46187</v>
      </c>
      <c r="B374" s="10" t="s">
        <v>793</v>
      </c>
      <c r="C374" s="10" t="s">
        <v>340</v>
      </c>
      <c r="D374" s="9" t="n">
        <v>46179</v>
      </c>
      <c r="E374" s="10" t="s">
        <v>339</v>
      </c>
      <c r="F374" s="10" t="s">
        <v>177</v>
      </c>
      <c r="G374" s="10" t="s">
        <v>295</v>
      </c>
      <c r="H374" s="10"/>
      <c r="I374" s="11" t="s">
        <v>794</v>
      </c>
      <c r="J374" s="10" t="n">
        <f aca="false">IF(COUNTIFS($E$2:E374,E374,$A$2:A374,A374)=1,1,0)</f>
        <v>1</v>
      </c>
    </row>
    <row r="375" customFormat="false" ht="15" hidden="false" customHeight="false" outlineLevel="0" collapsed="false">
      <c r="A375" s="9" t="n">
        <v>46187</v>
      </c>
      <c r="B375" s="10" t="s">
        <v>793</v>
      </c>
      <c r="C375" s="10" t="s">
        <v>796</v>
      </c>
      <c r="D375" s="9" t="n">
        <v>46181</v>
      </c>
      <c r="E375" s="10" t="s">
        <v>146</v>
      </c>
      <c r="F375" s="10" t="s">
        <v>107</v>
      </c>
      <c r="G375" s="10" t="s">
        <v>147</v>
      </c>
      <c r="H375" s="10"/>
      <c r="I375" s="11" t="s">
        <v>794</v>
      </c>
      <c r="J375" s="10" t="n">
        <f aca="false">IF(COUNTIFS($E$2:E375,E375,$A$2:A375,A375)=1,1,0)</f>
        <v>1</v>
      </c>
    </row>
    <row r="376" customFormat="false" ht="15" hidden="false" customHeight="false" outlineLevel="0" collapsed="false">
      <c r="A376" s="9" t="n">
        <v>46187</v>
      </c>
      <c r="B376" s="10" t="s">
        <v>793</v>
      </c>
      <c r="C376" s="10" t="s">
        <v>777</v>
      </c>
      <c r="D376" s="9" t="n">
        <v>46181</v>
      </c>
      <c r="E376" s="10" t="s">
        <v>58</v>
      </c>
      <c r="F376" s="10" t="s">
        <v>21</v>
      </c>
      <c r="G376" s="10" t="s">
        <v>39</v>
      </c>
      <c r="H376" s="10"/>
      <c r="I376" s="11" t="s">
        <v>794</v>
      </c>
      <c r="J376" s="10" t="n">
        <f aca="false">IF(COUNTIFS($E$2:E376,E376,$A$2:A376,A376)=1,1,0)</f>
        <v>1</v>
      </c>
    </row>
    <row r="377" customFormat="false" ht="15" hidden="false" customHeight="false" outlineLevel="0" collapsed="false">
      <c r="A377" s="9" t="n">
        <v>46187</v>
      </c>
      <c r="B377" s="10" t="s">
        <v>793</v>
      </c>
      <c r="C377" s="10" t="s">
        <v>797</v>
      </c>
      <c r="D377" s="9" t="n">
        <v>46184</v>
      </c>
      <c r="E377" s="10" t="s">
        <v>43</v>
      </c>
      <c r="F377" s="10" t="s">
        <v>44</v>
      </c>
      <c r="G377" s="10" t="s">
        <v>45</v>
      </c>
      <c r="H377" s="10"/>
      <c r="I377" s="11" t="s">
        <v>794</v>
      </c>
      <c r="J377" s="10" t="n">
        <f aca="false">IF(COUNTIFS($E$2:E377,E377,$A$2:A377,A377)=1,1,0)</f>
        <v>1</v>
      </c>
    </row>
    <row r="378" customFormat="false" ht="15" hidden="false" customHeight="false" outlineLevel="0" collapsed="false">
      <c r="A378" s="9" t="n">
        <v>46187</v>
      </c>
      <c r="B378" s="10" t="s">
        <v>793</v>
      </c>
      <c r="C378" s="10" t="s">
        <v>798</v>
      </c>
      <c r="D378" s="9" t="n">
        <v>46186</v>
      </c>
      <c r="E378" s="10" t="s">
        <v>81</v>
      </c>
      <c r="F378" s="10" t="s">
        <v>15</v>
      </c>
      <c r="G378" s="10" t="s">
        <v>82</v>
      </c>
      <c r="H378" s="10"/>
      <c r="I378" s="11" t="s">
        <v>794</v>
      </c>
      <c r="J378" s="10" t="n">
        <f aca="false">IF(COUNTIFS($E$2:E378,E378,$A$2:A378,A378)=1,1,0)</f>
        <v>1</v>
      </c>
    </row>
    <row r="379" customFormat="false" ht="15" hidden="false" customHeight="false" outlineLevel="0" collapsed="false">
      <c r="A379" s="9" t="n">
        <v>46187</v>
      </c>
      <c r="B379" s="10" t="s">
        <v>793</v>
      </c>
      <c r="C379" s="10" t="s">
        <v>782</v>
      </c>
      <c r="D379" s="9" t="n">
        <v>46186</v>
      </c>
      <c r="E379" s="10" t="s">
        <v>20</v>
      </c>
      <c r="F379" s="10" t="s">
        <v>21</v>
      </c>
      <c r="G379" s="10" t="s">
        <v>22</v>
      </c>
      <c r="H379" s="10" t="s">
        <v>24</v>
      </c>
      <c r="I379" s="11" t="s">
        <v>794</v>
      </c>
      <c r="J379" s="10" t="n">
        <f aca="false">IF(COUNTIFS($E$2:E379,E379,$A$2:A379,A379)=1,1,0)</f>
        <v>0</v>
      </c>
    </row>
    <row r="380" customFormat="false" ht="15" hidden="false" customHeight="false" outlineLevel="0" collapsed="false">
      <c r="A380" s="9" t="n">
        <v>46187</v>
      </c>
      <c r="B380" s="10" t="s">
        <v>793</v>
      </c>
      <c r="C380" s="10" t="s">
        <v>372</v>
      </c>
      <c r="D380" s="9" t="n">
        <v>46188</v>
      </c>
      <c r="E380" s="10" t="s">
        <v>371</v>
      </c>
      <c r="F380" s="10" t="s">
        <v>21</v>
      </c>
      <c r="G380" s="10" t="s">
        <v>217</v>
      </c>
      <c r="H380" s="10"/>
      <c r="I380" s="11" t="s">
        <v>794</v>
      </c>
      <c r="J380" s="10" t="n">
        <f aca="false">IF(COUNTIFS($E$2:E380,E380,$A$2:A380,A380)=1,1,0)</f>
        <v>1</v>
      </c>
    </row>
    <row r="381" customFormat="false" ht="15" hidden="false" customHeight="false" outlineLevel="0" collapsed="false">
      <c r="A381" s="9" t="n">
        <v>46187</v>
      </c>
      <c r="B381" s="10" t="s">
        <v>793</v>
      </c>
      <c r="C381" s="10" t="s">
        <v>799</v>
      </c>
      <c r="D381" s="9" t="n">
        <v>46189</v>
      </c>
      <c r="E381" s="10" t="s">
        <v>14</v>
      </c>
      <c r="F381" s="10" t="s">
        <v>15</v>
      </c>
      <c r="G381" s="10" t="s">
        <v>16</v>
      </c>
      <c r="H381" s="10" t="s">
        <v>800</v>
      </c>
      <c r="I381" s="11" t="s">
        <v>794</v>
      </c>
      <c r="J381" s="10" t="n">
        <f aca="false">IF(COUNTIFS($E$2:E381,E381,$A$2:A381,A381)=1,1,0)</f>
        <v>0</v>
      </c>
    </row>
    <row r="382" customFormat="false" ht="15" hidden="false" customHeight="false" outlineLevel="0" collapsed="false">
      <c r="A382" s="9" t="n">
        <v>46187</v>
      </c>
      <c r="B382" s="10" t="s">
        <v>793</v>
      </c>
      <c r="C382" s="10" t="s">
        <v>783</v>
      </c>
      <c r="D382" s="9" t="n">
        <v>46191</v>
      </c>
      <c r="E382" s="10" t="s">
        <v>26</v>
      </c>
      <c r="F382" s="10" t="s">
        <v>27</v>
      </c>
      <c r="G382" s="10" t="s">
        <v>28</v>
      </c>
      <c r="H382" s="10" t="s">
        <v>30</v>
      </c>
      <c r="I382" s="11" t="s">
        <v>794</v>
      </c>
      <c r="J382" s="10" t="n">
        <f aca="false">IF(COUNTIFS($E$2:E382,E382,$A$2:A382,A382)=1,1,0)</f>
        <v>1</v>
      </c>
    </row>
    <row r="383" customFormat="false" ht="15" hidden="false" customHeight="false" outlineLevel="0" collapsed="false">
      <c r="A383" s="9" t="n">
        <v>46187</v>
      </c>
      <c r="B383" s="10" t="s">
        <v>793</v>
      </c>
      <c r="C383" s="10" t="s">
        <v>801</v>
      </c>
      <c r="D383" s="9" t="n">
        <v>46193</v>
      </c>
      <c r="E383" s="10" t="s">
        <v>20</v>
      </c>
      <c r="F383" s="10" t="s">
        <v>21</v>
      </c>
      <c r="G383" s="10" t="s">
        <v>22</v>
      </c>
      <c r="H383" s="10" t="s">
        <v>116</v>
      </c>
      <c r="I383" s="11" t="s">
        <v>794</v>
      </c>
      <c r="J383" s="10" t="n">
        <f aca="false">IF(COUNTIFS($E$2:E383,E383,$A$2:A383,A383)=1,1,0)</f>
        <v>0</v>
      </c>
    </row>
    <row r="384" customFormat="false" ht="15" hidden="false" customHeight="false" outlineLevel="0" collapsed="false">
      <c r="A384" s="9" t="n">
        <v>46187</v>
      </c>
      <c r="B384" s="10" t="s">
        <v>793</v>
      </c>
      <c r="C384" s="10" t="s">
        <v>802</v>
      </c>
      <c r="D384" s="9" t="n">
        <v>46193</v>
      </c>
      <c r="E384" s="10" t="s">
        <v>96</v>
      </c>
      <c r="F384" s="10" t="s">
        <v>33</v>
      </c>
      <c r="G384" s="10" t="s">
        <v>97</v>
      </c>
      <c r="H384" s="10"/>
      <c r="I384" s="11" t="s">
        <v>794</v>
      </c>
      <c r="J384" s="10" t="n">
        <f aca="false">IF(COUNTIFS($E$2:E384,E384,$A$2:A384,A384)=1,1,0)</f>
        <v>1</v>
      </c>
    </row>
    <row r="385" customFormat="false" ht="15" hidden="false" customHeight="false" outlineLevel="0" collapsed="false">
      <c r="A385" s="9" t="n">
        <v>46187</v>
      </c>
      <c r="B385" s="10" t="s">
        <v>793</v>
      </c>
      <c r="C385" s="10" t="s">
        <v>720</v>
      </c>
      <c r="D385" s="9" t="n">
        <v>46194</v>
      </c>
      <c r="E385" s="10" t="s">
        <v>71</v>
      </c>
      <c r="F385" s="10" t="s">
        <v>27</v>
      </c>
      <c r="G385" s="10" t="s">
        <v>72</v>
      </c>
      <c r="H385" s="10" t="s">
        <v>74</v>
      </c>
      <c r="I385" s="11" t="s">
        <v>794</v>
      </c>
      <c r="J385" s="10" t="n">
        <f aca="false">IF(COUNTIFS($E$2:E385,E385,$A$2:A385,A385)=1,1,0)</f>
        <v>1</v>
      </c>
    </row>
    <row r="386" customFormat="false" ht="15" hidden="false" customHeight="false" outlineLevel="0" collapsed="false">
      <c r="A386" s="9" t="n">
        <v>46187</v>
      </c>
      <c r="B386" s="10" t="s">
        <v>793</v>
      </c>
      <c r="C386" s="10" t="s">
        <v>163</v>
      </c>
      <c r="D386" s="9" t="n">
        <v>46196</v>
      </c>
      <c r="E386" s="10" t="s">
        <v>161</v>
      </c>
      <c r="F386" s="10" t="s">
        <v>21</v>
      </c>
      <c r="G386" s="10" t="s">
        <v>162</v>
      </c>
      <c r="H386" s="10"/>
      <c r="I386" s="11" t="s">
        <v>794</v>
      </c>
      <c r="J386" s="10" t="n">
        <f aca="false">IF(COUNTIFS($E$2:E386,E386,$A$2:A386,A386)=1,1,0)</f>
        <v>1</v>
      </c>
    </row>
    <row r="387" customFormat="false" ht="15" hidden="false" customHeight="false" outlineLevel="0" collapsed="false">
      <c r="A387" s="9" t="n">
        <v>46187</v>
      </c>
      <c r="B387" s="10" t="s">
        <v>793</v>
      </c>
      <c r="C387" s="10" t="s">
        <v>784</v>
      </c>
      <c r="D387" s="9" t="n">
        <v>46196</v>
      </c>
      <c r="E387" s="10" t="s">
        <v>20</v>
      </c>
      <c r="F387" s="10" t="s">
        <v>21</v>
      </c>
      <c r="G387" s="10" t="s">
        <v>22</v>
      </c>
      <c r="H387" s="10" t="s">
        <v>24</v>
      </c>
      <c r="I387" s="11" t="s">
        <v>794</v>
      </c>
      <c r="J387" s="10" t="n">
        <f aca="false">IF(COUNTIFS($E$2:E387,E387,$A$2:A387,A387)=1,1,0)</f>
        <v>0</v>
      </c>
    </row>
    <row r="388" customFormat="false" ht="15" hidden="false" customHeight="false" outlineLevel="0" collapsed="false">
      <c r="A388" s="9" t="n">
        <v>46187</v>
      </c>
      <c r="B388" s="10" t="s">
        <v>793</v>
      </c>
      <c r="C388" s="10" t="s">
        <v>785</v>
      </c>
      <c r="D388" s="9" t="n">
        <v>46196</v>
      </c>
      <c r="E388" s="10" t="s">
        <v>14</v>
      </c>
      <c r="F388" s="10" t="s">
        <v>15</v>
      </c>
      <c r="G388" s="10" t="s">
        <v>16</v>
      </c>
      <c r="H388" s="10" t="s">
        <v>18</v>
      </c>
      <c r="I388" s="11" t="s">
        <v>794</v>
      </c>
      <c r="J388" s="10" t="n">
        <f aca="false">IF(COUNTIFS($E$2:E388,E388,$A$2:A388,A388)=1,1,0)</f>
        <v>0</v>
      </c>
    </row>
    <row r="389" customFormat="false" ht="15" hidden="false" customHeight="false" outlineLevel="0" collapsed="false">
      <c r="A389" s="9" t="n">
        <v>46187</v>
      </c>
      <c r="B389" s="10" t="s">
        <v>793</v>
      </c>
      <c r="C389" s="10" t="s">
        <v>93</v>
      </c>
      <c r="D389" s="9" t="n">
        <v>46197</v>
      </c>
      <c r="E389" s="10" t="s">
        <v>92</v>
      </c>
      <c r="F389" s="10" t="s">
        <v>27</v>
      </c>
      <c r="G389" s="10" t="s">
        <v>54</v>
      </c>
      <c r="H389" s="10" t="s">
        <v>94</v>
      </c>
      <c r="I389" s="11" t="s">
        <v>794</v>
      </c>
      <c r="J389" s="10" t="n">
        <f aca="false">IF(COUNTIFS($E$2:E389,E389,$A$2:A389,A389)=1,1,0)</f>
        <v>1</v>
      </c>
    </row>
    <row r="390" customFormat="false" ht="15" hidden="false" customHeight="false" outlineLevel="0" collapsed="false">
      <c r="A390" s="9" t="n">
        <v>46187</v>
      </c>
      <c r="B390" s="10" t="s">
        <v>793</v>
      </c>
      <c r="C390" s="10" t="s">
        <v>126</v>
      </c>
      <c r="D390" s="9" t="n">
        <v>46197</v>
      </c>
      <c r="E390" s="10" t="s">
        <v>125</v>
      </c>
      <c r="F390" s="10" t="s">
        <v>107</v>
      </c>
      <c r="G390" s="10" t="s">
        <v>39</v>
      </c>
      <c r="H390" s="10"/>
      <c r="I390" s="11" t="s">
        <v>794</v>
      </c>
      <c r="J390" s="10" t="n">
        <f aca="false">IF(COUNTIFS($E$2:E390,E390,$A$2:A390,A390)=1,1,0)</f>
        <v>1</v>
      </c>
    </row>
    <row r="391" customFormat="false" ht="15" hidden="false" customHeight="false" outlineLevel="0" collapsed="false">
      <c r="A391" s="9" t="n">
        <v>46187</v>
      </c>
      <c r="B391" s="10" t="s">
        <v>793</v>
      </c>
      <c r="C391" s="10" t="s">
        <v>803</v>
      </c>
      <c r="D391" s="9" t="n">
        <v>46197</v>
      </c>
      <c r="E391" s="10" t="s">
        <v>247</v>
      </c>
      <c r="F391" s="10" t="s">
        <v>33</v>
      </c>
      <c r="G391" s="10" t="s">
        <v>248</v>
      </c>
      <c r="H391" s="10"/>
      <c r="I391" s="11" t="s">
        <v>794</v>
      </c>
      <c r="J391" s="10" t="n">
        <f aca="false">IF(COUNTIFS($E$2:E391,E391,$A$2:A391,A391)=1,1,0)</f>
        <v>1</v>
      </c>
    </row>
    <row r="392" customFormat="false" ht="15" hidden="false" customHeight="false" outlineLevel="0" collapsed="false">
      <c r="A392" s="9" t="n">
        <v>46187</v>
      </c>
      <c r="B392" s="10" t="s">
        <v>793</v>
      </c>
      <c r="C392" s="10" t="s">
        <v>786</v>
      </c>
      <c r="D392" s="9" t="n">
        <v>46198</v>
      </c>
      <c r="E392" s="10" t="s">
        <v>32</v>
      </c>
      <c r="F392" s="10" t="s">
        <v>33</v>
      </c>
      <c r="G392" s="10" t="s">
        <v>34</v>
      </c>
      <c r="H392" s="10" t="s">
        <v>36</v>
      </c>
      <c r="I392" s="11" t="s">
        <v>794</v>
      </c>
      <c r="J392" s="10" t="n">
        <f aca="false">IF(COUNTIFS($E$2:E392,E392,$A$2:A392,A392)=1,1,0)</f>
        <v>1</v>
      </c>
    </row>
    <row r="393" customFormat="false" ht="15" hidden="false" customHeight="false" outlineLevel="0" collapsed="false">
      <c r="A393" s="9" t="n">
        <v>46187</v>
      </c>
      <c r="B393" s="10" t="s">
        <v>793</v>
      </c>
      <c r="C393" s="10" t="s">
        <v>787</v>
      </c>
      <c r="D393" s="9" t="n">
        <v>46198</v>
      </c>
      <c r="E393" s="10" t="s">
        <v>53</v>
      </c>
      <c r="F393" s="10" t="s">
        <v>15</v>
      </c>
      <c r="G393" s="10" t="s">
        <v>54</v>
      </c>
      <c r="H393" s="10"/>
      <c r="I393" s="11" t="s">
        <v>794</v>
      </c>
      <c r="J393" s="10" t="n">
        <f aca="false">IF(COUNTIFS($E$2:E393,E393,$A$2:A393,A393)=1,1,0)</f>
        <v>1</v>
      </c>
    </row>
    <row r="394" customFormat="false" ht="15" hidden="false" customHeight="false" outlineLevel="0" collapsed="false">
      <c r="A394" s="9" t="n">
        <v>46187</v>
      </c>
      <c r="B394" s="10" t="s">
        <v>793</v>
      </c>
      <c r="C394" s="10" t="s">
        <v>29</v>
      </c>
      <c r="D394" s="9" t="n">
        <v>46199</v>
      </c>
      <c r="E394" s="10" t="s">
        <v>26</v>
      </c>
      <c r="F394" s="10" t="s">
        <v>27</v>
      </c>
      <c r="G394" s="10" t="s">
        <v>28</v>
      </c>
      <c r="H394" s="10"/>
      <c r="I394" s="11" t="s">
        <v>794</v>
      </c>
      <c r="J394" s="10" t="n">
        <f aca="false">IF(COUNTIFS($E$2:E394,E394,$A$2:A394,A394)=1,1,0)</f>
        <v>0</v>
      </c>
    </row>
    <row r="395" customFormat="false" ht="15" hidden="false" customHeight="false" outlineLevel="0" collapsed="false">
      <c r="A395" s="9" t="n">
        <v>46187</v>
      </c>
      <c r="B395" s="10" t="s">
        <v>793</v>
      </c>
      <c r="C395" s="10" t="s">
        <v>239</v>
      </c>
      <c r="D395" s="9" t="n">
        <v>46199</v>
      </c>
      <c r="E395" s="10" t="s">
        <v>238</v>
      </c>
      <c r="F395" s="10" t="s">
        <v>107</v>
      </c>
      <c r="G395" s="10" t="s">
        <v>155</v>
      </c>
      <c r="H395" s="10"/>
      <c r="I395" s="11" t="s">
        <v>794</v>
      </c>
      <c r="J395" s="10" t="n">
        <f aca="false">IF(COUNTIFS($E$2:E395,E395,$A$2:A395,A395)=1,1,0)</f>
        <v>1</v>
      </c>
    </row>
    <row r="396" customFormat="false" ht="15" hidden="false" customHeight="false" outlineLevel="0" collapsed="false">
      <c r="A396" s="9" t="n">
        <v>46187</v>
      </c>
      <c r="B396" s="10" t="s">
        <v>793</v>
      </c>
      <c r="C396" s="10" t="s">
        <v>192</v>
      </c>
      <c r="D396" s="9" t="n">
        <v>46200</v>
      </c>
      <c r="E396" s="10" t="s">
        <v>189</v>
      </c>
      <c r="F396" s="10" t="s">
        <v>190</v>
      </c>
      <c r="G396" s="10" t="s">
        <v>191</v>
      </c>
      <c r="H396" s="10" t="s">
        <v>193</v>
      </c>
      <c r="I396" s="11" t="s">
        <v>794</v>
      </c>
      <c r="J396" s="10" t="n">
        <f aca="false">IF(COUNTIFS($E$2:E396,E396,$A$2:A396,A396)=1,1,0)</f>
        <v>1</v>
      </c>
    </row>
    <row r="397" customFormat="false" ht="15" hidden="false" customHeight="false" outlineLevel="0" collapsed="false">
      <c r="A397" s="9" t="n">
        <v>46187</v>
      </c>
      <c r="B397" s="10" t="s">
        <v>793</v>
      </c>
      <c r="C397" s="10" t="s">
        <v>789</v>
      </c>
      <c r="D397" s="9" t="n">
        <v>46201</v>
      </c>
      <c r="E397" s="10" t="s">
        <v>14</v>
      </c>
      <c r="F397" s="10" t="s">
        <v>15</v>
      </c>
      <c r="G397" s="10" t="s">
        <v>16</v>
      </c>
      <c r="H397" s="10" t="s">
        <v>18</v>
      </c>
      <c r="I397" s="11" t="s">
        <v>794</v>
      </c>
      <c r="J397" s="10" t="n">
        <f aca="false">IF(COUNTIFS($E$2:E397,E397,$A$2:A397,A397)=1,1,0)</f>
        <v>0</v>
      </c>
    </row>
    <row r="398" customFormat="false" ht="15" hidden="false" customHeight="false" outlineLevel="0" collapsed="false">
      <c r="A398" s="9" t="n">
        <v>46187</v>
      </c>
      <c r="B398" s="10" t="s">
        <v>793</v>
      </c>
      <c r="C398" s="10" t="s">
        <v>804</v>
      </c>
      <c r="D398" s="9" t="n">
        <v>46201</v>
      </c>
      <c r="E398" s="10" t="s">
        <v>14</v>
      </c>
      <c r="F398" s="10" t="s">
        <v>15</v>
      </c>
      <c r="G398" s="10" t="s">
        <v>16</v>
      </c>
      <c r="H398" s="10" t="s">
        <v>18</v>
      </c>
      <c r="I398" s="11" t="s">
        <v>794</v>
      </c>
      <c r="J398" s="10" t="n">
        <f aca="false">IF(COUNTIFS($E$2:E398,E398,$A$2:A398,A398)=1,1,0)</f>
        <v>0</v>
      </c>
    </row>
    <row r="399" customFormat="false" ht="15" hidden="false" customHeight="false" outlineLevel="0" collapsed="false">
      <c r="A399" s="9" t="n">
        <v>46187</v>
      </c>
      <c r="B399" s="10" t="s">
        <v>793</v>
      </c>
      <c r="C399" s="10" t="s">
        <v>805</v>
      </c>
      <c r="D399" s="9" t="n">
        <v>46202</v>
      </c>
      <c r="E399" s="10" t="s">
        <v>150</v>
      </c>
      <c r="F399" s="10" t="s">
        <v>15</v>
      </c>
      <c r="G399" s="10" t="s">
        <v>16</v>
      </c>
      <c r="H399" s="10" t="s">
        <v>806</v>
      </c>
      <c r="I399" s="11" t="s">
        <v>794</v>
      </c>
      <c r="J399" s="10" t="n">
        <f aca="false">IF(COUNTIFS($E$2:E399,E399,$A$2:A399,A399)=1,1,0)</f>
        <v>1</v>
      </c>
    </row>
    <row r="400" customFormat="false" ht="15" hidden="false" customHeight="false" outlineLevel="0" collapsed="false">
      <c r="A400" s="9" t="n">
        <v>46187</v>
      </c>
      <c r="B400" s="10" t="s">
        <v>793</v>
      </c>
      <c r="C400" s="10" t="s">
        <v>791</v>
      </c>
      <c r="D400" s="9" t="n">
        <v>46203</v>
      </c>
      <c r="E400" s="10" t="s">
        <v>129</v>
      </c>
      <c r="F400" s="10" t="s">
        <v>87</v>
      </c>
      <c r="G400" s="10" t="s">
        <v>54</v>
      </c>
      <c r="H400" s="10"/>
      <c r="I400" s="11" t="s">
        <v>794</v>
      </c>
      <c r="J400" s="10" t="n">
        <f aca="false">IF(COUNTIFS($E$2:E400,E400,$A$2:A400,A400)=1,1,0)</f>
        <v>1</v>
      </c>
    </row>
    <row r="401" customFormat="false" ht="15" hidden="false" customHeight="false" outlineLevel="0" collapsed="false">
      <c r="A401" s="9" t="n">
        <v>46187</v>
      </c>
      <c r="B401" s="10" t="s">
        <v>793</v>
      </c>
      <c r="C401" s="10" t="s">
        <v>649</v>
      </c>
      <c r="D401" s="9" t="n">
        <v>46204</v>
      </c>
      <c r="E401" s="10" t="s">
        <v>66</v>
      </c>
      <c r="F401" s="10" t="s">
        <v>33</v>
      </c>
      <c r="G401" s="10" t="s">
        <v>67</v>
      </c>
      <c r="H401" s="10" t="s">
        <v>69</v>
      </c>
      <c r="I401" s="11" t="s">
        <v>794</v>
      </c>
      <c r="J401" s="10" t="n">
        <f aca="false">IF(COUNTIFS($E$2:E401,E401,$A$2:A401,A401)=1,1,0)</f>
        <v>1</v>
      </c>
    </row>
    <row r="402" customFormat="false" ht="15" hidden="false" customHeight="false" outlineLevel="0" collapsed="false">
      <c r="A402" s="9" t="n">
        <v>46187</v>
      </c>
      <c r="B402" s="10" t="s">
        <v>793</v>
      </c>
      <c r="C402" s="10" t="s">
        <v>650</v>
      </c>
      <c r="D402" s="9" t="n">
        <v>46205</v>
      </c>
      <c r="E402" s="10" t="s">
        <v>43</v>
      </c>
      <c r="F402" s="10" t="s">
        <v>44</v>
      </c>
      <c r="G402" s="10" t="s">
        <v>45</v>
      </c>
      <c r="H402" s="10"/>
      <c r="I402" s="11" t="s">
        <v>794</v>
      </c>
      <c r="J402" s="10" t="n">
        <f aca="false">IF(COUNTIFS($E$2:E402,E402,$A$2:A402,A402)=1,1,0)</f>
        <v>0</v>
      </c>
    </row>
    <row r="403" customFormat="false" ht="15" hidden="false" customHeight="false" outlineLevel="0" collapsed="false">
      <c r="A403" s="9" t="n">
        <v>46187</v>
      </c>
      <c r="B403" s="10" t="s">
        <v>793</v>
      </c>
      <c r="C403" s="10" t="s">
        <v>727</v>
      </c>
      <c r="D403" s="9" t="n">
        <v>46206</v>
      </c>
      <c r="E403" s="10" t="s">
        <v>14</v>
      </c>
      <c r="F403" s="10" t="s">
        <v>15</v>
      </c>
      <c r="G403" s="10" t="s">
        <v>16</v>
      </c>
      <c r="H403" s="10" t="s">
        <v>18</v>
      </c>
      <c r="I403" s="11" t="s">
        <v>794</v>
      </c>
      <c r="J403" s="10" t="n">
        <f aca="false">IF(COUNTIFS($E$2:E403,E403,$A$2:A403,A403)=1,1,0)</f>
        <v>0</v>
      </c>
    </row>
    <row r="404" customFormat="false" ht="15" hidden="false" customHeight="false" outlineLevel="0" collapsed="false">
      <c r="A404" s="9" t="n">
        <v>46187</v>
      </c>
      <c r="B404" s="10" t="s">
        <v>793</v>
      </c>
      <c r="C404" s="10" t="s">
        <v>665</v>
      </c>
      <c r="D404" s="9" t="n">
        <v>46206</v>
      </c>
      <c r="E404" s="10" t="s">
        <v>58</v>
      </c>
      <c r="F404" s="10" t="s">
        <v>21</v>
      </c>
      <c r="G404" s="10" t="s">
        <v>39</v>
      </c>
      <c r="H404" s="10" t="s">
        <v>60</v>
      </c>
      <c r="I404" s="11" t="s">
        <v>794</v>
      </c>
      <c r="J404" s="10" t="n">
        <f aca="false">IF(COUNTIFS($E$2:E404,E404,$A$2:A404,A404)=1,1,0)</f>
        <v>0</v>
      </c>
    </row>
    <row r="405" customFormat="false" ht="15" hidden="false" customHeight="false" outlineLevel="0" collapsed="false">
      <c r="A405" s="9" t="n">
        <v>46187</v>
      </c>
      <c r="B405" s="10" t="s">
        <v>793</v>
      </c>
      <c r="C405" s="10" t="s">
        <v>792</v>
      </c>
      <c r="D405" s="9" t="n">
        <v>46207</v>
      </c>
      <c r="E405" s="10" t="s">
        <v>14</v>
      </c>
      <c r="F405" s="10" t="s">
        <v>15</v>
      </c>
      <c r="G405" s="10" t="s">
        <v>16</v>
      </c>
      <c r="H405" s="10" t="s">
        <v>18</v>
      </c>
      <c r="I405" s="11" t="s">
        <v>794</v>
      </c>
      <c r="J405" s="10" t="n">
        <f aca="false">IF(COUNTIFS($E$2:E405,E405,$A$2:A405,A405)=1,1,0)</f>
        <v>0</v>
      </c>
    </row>
    <row r="406" customFormat="false" ht="15" hidden="false" customHeight="false" outlineLevel="0" collapsed="false">
      <c r="A406" s="9" t="n">
        <v>46193</v>
      </c>
      <c r="B406" s="10" t="s">
        <v>807</v>
      </c>
      <c r="C406" s="10" t="s">
        <v>808</v>
      </c>
      <c r="D406" s="9" t="n">
        <v>46201</v>
      </c>
      <c r="E406" s="10" t="s">
        <v>361</v>
      </c>
      <c r="F406" s="10" t="s">
        <v>154</v>
      </c>
      <c r="G406" s="10" t="s">
        <v>362</v>
      </c>
      <c r="H406" s="10" t="s">
        <v>364</v>
      </c>
      <c r="I406" s="11" t="s">
        <v>809</v>
      </c>
      <c r="J406" s="10" t="n">
        <f aca="false">IF(COUNTIFS($E$2:E406,E406,$A$2:A406,A406)=1,1,0)</f>
        <v>1</v>
      </c>
    </row>
    <row r="407" customFormat="false" ht="15" hidden="false" customHeight="false" outlineLevel="0" collapsed="false">
      <c r="A407" s="9" t="n">
        <v>46193</v>
      </c>
      <c r="B407" s="10" t="s">
        <v>807</v>
      </c>
      <c r="C407" s="10" t="s">
        <v>810</v>
      </c>
      <c r="D407" s="9" t="n">
        <v>46201</v>
      </c>
      <c r="E407" s="10" t="s">
        <v>313</v>
      </c>
      <c r="F407" s="10" t="s">
        <v>15</v>
      </c>
      <c r="G407" s="10" t="s">
        <v>142</v>
      </c>
      <c r="H407" s="10" t="s">
        <v>18</v>
      </c>
      <c r="I407" s="11" t="s">
        <v>809</v>
      </c>
      <c r="J407" s="10" t="n">
        <f aca="false">IF(COUNTIFS($E$2:E407,E407,$A$2:A407,A407)=1,1,0)</f>
        <v>1</v>
      </c>
    </row>
    <row r="408" customFormat="false" ht="15" hidden="false" customHeight="false" outlineLevel="0" collapsed="false">
      <c r="A408" s="9" t="n">
        <v>46193</v>
      </c>
      <c r="B408" s="10" t="s">
        <v>807</v>
      </c>
      <c r="C408" s="10" t="s">
        <v>811</v>
      </c>
      <c r="D408" s="9" t="n">
        <v>46201</v>
      </c>
      <c r="E408" s="10" t="s">
        <v>14</v>
      </c>
      <c r="F408" s="10" t="s">
        <v>15</v>
      </c>
      <c r="G408" s="10" t="s">
        <v>16</v>
      </c>
      <c r="H408" s="10" t="s">
        <v>18</v>
      </c>
      <c r="I408" s="11" t="s">
        <v>809</v>
      </c>
      <c r="J408" s="10" t="n">
        <f aca="false">IF(COUNTIFS($E$2:E408,E408,$A$2:A408,A408)=1,1,0)</f>
        <v>1</v>
      </c>
    </row>
    <row r="409" customFormat="false" ht="15" hidden="false" customHeight="false" outlineLevel="0" collapsed="false">
      <c r="A409" s="9" t="n">
        <v>46193</v>
      </c>
      <c r="B409" s="10" t="s">
        <v>807</v>
      </c>
      <c r="C409" s="10" t="s">
        <v>812</v>
      </c>
      <c r="D409" s="9" t="n">
        <v>46201</v>
      </c>
      <c r="E409" s="10" t="s">
        <v>14</v>
      </c>
      <c r="F409" s="10" t="s">
        <v>15</v>
      </c>
      <c r="G409" s="10" t="s">
        <v>16</v>
      </c>
      <c r="H409" s="10" t="s">
        <v>18</v>
      </c>
      <c r="I409" s="11" t="s">
        <v>809</v>
      </c>
      <c r="J409" s="10" t="n">
        <f aca="false">IF(COUNTIFS($E$2:E409,E409,$A$2:A409,A409)=1,1,0)</f>
        <v>0</v>
      </c>
    </row>
    <row r="410" customFormat="false" ht="15" hidden="false" customHeight="false" outlineLevel="0" collapsed="false">
      <c r="A410" s="9" t="n">
        <v>46193</v>
      </c>
      <c r="B410" s="10" t="s">
        <v>807</v>
      </c>
      <c r="C410" s="10" t="s">
        <v>813</v>
      </c>
      <c r="D410" s="9" t="n">
        <v>46201</v>
      </c>
      <c r="E410" s="10" t="s">
        <v>14</v>
      </c>
      <c r="F410" s="10" t="s">
        <v>15</v>
      </c>
      <c r="G410" s="10" t="s">
        <v>16</v>
      </c>
      <c r="H410" s="10" t="s">
        <v>814</v>
      </c>
      <c r="I410" s="11" t="s">
        <v>809</v>
      </c>
      <c r="J410" s="10" t="n">
        <f aca="false">IF(COUNTIFS($E$2:E410,E410,$A$2:A410,A410)=1,1,0)</f>
        <v>0</v>
      </c>
    </row>
    <row r="411" customFormat="false" ht="15" hidden="false" customHeight="false" outlineLevel="0" collapsed="false">
      <c r="A411" s="9" t="n">
        <v>46193</v>
      </c>
      <c r="B411" s="10" t="s">
        <v>807</v>
      </c>
      <c r="C411" s="10" t="s">
        <v>815</v>
      </c>
      <c r="D411" s="9" t="n">
        <v>46201</v>
      </c>
      <c r="E411" s="10" t="s">
        <v>14</v>
      </c>
      <c r="F411" s="10" t="s">
        <v>15</v>
      </c>
      <c r="G411" s="10" t="s">
        <v>16</v>
      </c>
      <c r="H411" s="10" t="s">
        <v>18</v>
      </c>
      <c r="I411" s="11" t="s">
        <v>809</v>
      </c>
      <c r="J411" s="10" t="n">
        <f aca="false">IF(COUNTIFS($E$2:E411,E411,$A$2:A411,A411)=1,1,0)</f>
        <v>0</v>
      </c>
    </row>
    <row r="412" customFormat="false" ht="15" hidden="false" customHeight="false" outlineLevel="0" collapsed="false">
      <c r="A412" s="9" t="n">
        <v>46193</v>
      </c>
      <c r="B412" s="10" t="s">
        <v>807</v>
      </c>
      <c r="C412" s="10" t="s">
        <v>816</v>
      </c>
      <c r="D412" s="9" t="n">
        <v>46201</v>
      </c>
      <c r="E412" s="10" t="s">
        <v>53</v>
      </c>
      <c r="F412" s="10" t="s">
        <v>15</v>
      </c>
      <c r="G412" s="10" t="s">
        <v>54</v>
      </c>
      <c r="H412" s="10" t="s">
        <v>817</v>
      </c>
      <c r="I412" s="11" t="s">
        <v>809</v>
      </c>
      <c r="J412" s="10" t="n">
        <f aca="false">IF(COUNTIFS($E$2:E412,E412,$A$2:A412,A412)=1,1,0)</f>
        <v>1</v>
      </c>
    </row>
    <row r="413" customFormat="false" ht="15" hidden="false" customHeight="false" outlineLevel="0" collapsed="false">
      <c r="A413" s="9" t="n">
        <v>46193</v>
      </c>
      <c r="B413" s="10" t="s">
        <v>807</v>
      </c>
      <c r="C413" s="10" t="s">
        <v>378</v>
      </c>
      <c r="D413" s="9" t="n">
        <v>46202</v>
      </c>
      <c r="E413" s="10" t="s">
        <v>376</v>
      </c>
      <c r="F413" s="10" t="s">
        <v>15</v>
      </c>
      <c r="G413" s="10" t="s">
        <v>377</v>
      </c>
      <c r="H413" s="10" t="s">
        <v>18</v>
      </c>
      <c r="I413" s="11" t="s">
        <v>809</v>
      </c>
      <c r="J413" s="10" t="n">
        <f aca="false">IF(COUNTIFS($E$2:E413,E413,$A$2:A413,A413)=1,1,0)</f>
        <v>1</v>
      </c>
    </row>
    <row r="414" customFormat="false" ht="15" hidden="false" customHeight="false" outlineLevel="0" collapsed="false">
      <c r="A414" s="9" t="n">
        <v>46193</v>
      </c>
      <c r="B414" s="10" t="s">
        <v>807</v>
      </c>
      <c r="C414" s="10" t="s">
        <v>818</v>
      </c>
      <c r="D414" s="9" t="n">
        <v>46202</v>
      </c>
      <c r="E414" s="10" t="s">
        <v>62</v>
      </c>
      <c r="F414" s="10" t="s">
        <v>15</v>
      </c>
      <c r="G414" s="10" t="s">
        <v>63</v>
      </c>
      <c r="H414" s="10" t="s">
        <v>18</v>
      </c>
      <c r="I414" s="11" t="s">
        <v>809</v>
      </c>
      <c r="J414" s="10" t="n">
        <f aca="false">IF(COUNTIFS($E$2:E414,E414,$A$2:A414,A414)=1,1,0)</f>
        <v>1</v>
      </c>
    </row>
    <row r="415" customFormat="false" ht="15" hidden="false" customHeight="false" outlineLevel="0" collapsed="false">
      <c r="A415" s="9" t="n">
        <v>46193</v>
      </c>
      <c r="B415" s="10" t="s">
        <v>807</v>
      </c>
      <c r="C415" s="10" t="s">
        <v>819</v>
      </c>
      <c r="D415" s="9" t="n">
        <v>46202</v>
      </c>
      <c r="E415" s="10" t="s">
        <v>150</v>
      </c>
      <c r="F415" s="10" t="s">
        <v>15</v>
      </c>
      <c r="G415" s="10" t="s">
        <v>16</v>
      </c>
      <c r="H415" s="10" t="s">
        <v>806</v>
      </c>
      <c r="I415" s="11" t="s">
        <v>809</v>
      </c>
      <c r="J415" s="10" t="n">
        <f aca="false">IF(COUNTIFS($E$2:E415,E415,$A$2:A415,A415)=1,1,0)</f>
        <v>1</v>
      </c>
    </row>
    <row r="416" customFormat="false" ht="15" hidden="false" customHeight="false" outlineLevel="0" collapsed="false">
      <c r="A416" s="9" t="n">
        <v>46193</v>
      </c>
      <c r="B416" s="10" t="s">
        <v>807</v>
      </c>
      <c r="C416" s="10" t="s">
        <v>820</v>
      </c>
      <c r="D416" s="9" t="n">
        <v>46202</v>
      </c>
      <c r="E416" s="10" t="s">
        <v>230</v>
      </c>
      <c r="F416" s="10" t="s">
        <v>177</v>
      </c>
      <c r="G416" s="10" t="s">
        <v>155</v>
      </c>
      <c r="H416" s="10" t="s">
        <v>18</v>
      </c>
      <c r="I416" s="11" t="s">
        <v>809</v>
      </c>
      <c r="J416" s="10" t="n">
        <f aca="false">IF(COUNTIFS($E$2:E416,E416,$A$2:A416,A416)=1,1,0)</f>
        <v>1</v>
      </c>
    </row>
    <row r="417" customFormat="false" ht="15" hidden="false" customHeight="false" outlineLevel="0" collapsed="false">
      <c r="A417" s="9" t="n">
        <v>46193</v>
      </c>
      <c r="B417" s="10" t="s">
        <v>807</v>
      </c>
      <c r="C417" s="10" t="s">
        <v>821</v>
      </c>
      <c r="D417" s="9" t="n">
        <v>46202</v>
      </c>
      <c r="E417" s="10" t="s">
        <v>14</v>
      </c>
      <c r="F417" s="10" t="s">
        <v>15</v>
      </c>
      <c r="G417" s="10" t="s">
        <v>16</v>
      </c>
      <c r="H417" s="10" t="s">
        <v>18</v>
      </c>
      <c r="I417" s="11" t="s">
        <v>809</v>
      </c>
      <c r="J417" s="10" t="n">
        <f aca="false">IF(COUNTIFS($E$2:E417,E417,$A$2:A417,A417)=1,1,0)</f>
        <v>0</v>
      </c>
    </row>
    <row r="418" customFormat="false" ht="15" hidden="false" customHeight="false" outlineLevel="0" collapsed="false">
      <c r="A418" s="9" t="n">
        <v>46193</v>
      </c>
      <c r="B418" s="10" t="s">
        <v>807</v>
      </c>
      <c r="C418" s="10" t="s">
        <v>822</v>
      </c>
      <c r="D418" s="9" t="n">
        <v>46202</v>
      </c>
      <c r="E418" s="10" t="s">
        <v>14</v>
      </c>
      <c r="F418" s="10" t="s">
        <v>15</v>
      </c>
      <c r="G418" s="10" t="s">
        <v>16</v>
      </c>
      <c r="H418" s="10" t="s">
        <v>18</v>
      </c>
      <c r="I418" s="11" t="s">
        <v>809</v>
      </c>
      <c r="J418" s="10" t="n">
        <f aca="false">IF(COUNTIFS($E$2:E418,E418,$A$2:A418,A418)=1,1,0)</f>
        <v>0</v>
      </c>
    </row>
    <row r="419" customFormat="false" ht="15" hidden="false" customHeight="false" outlineLevel="0" collapsed="false">
      <c r="A419" s="9" t="n">
        <v>46193</v>
      </c>
      <c r="B419" s="10" t="s">
        <v>807</v>
      </c>
      <c r="C419" s="10" t="s">
        <v>823</v>
      </c>
      <c r="D419" s="9" t="n">
        <v>46202</v>
      </c>
      <c r="E419" s="10" t="s">
        <v>14</v>
      </c>
      <c r="F419" s="10" t="s">
        <v>15</v>
      </c>
      <c r="G419" s="10" t="s">
        <v>16</v>
      </c>
      <c r="H419" s="10" t="s">
        <v>18</v>
      </c>
      <c r="I419" s="11" t="s">
        <v>809</v>
      </c>
      <c r="J419" s="10" t="n">
        <f aca="false">IF(COUNTIFS($E$2:E419,E419,$A$2:A419,A419)=1,1,0)</f>
        <v>0</v>
      </c>
    </row>
    <row r="420" customFormat="false" ht="15" hidden="false" customHeight="false" outlineLevel="0" collapsed="false">
      <c r="A420" s="9" t="n">
        <v>46193</v>
      </c>
      <c r="B420" s="10" t="s">
        <v>807</v>
      </c>
      <c r="C420" s="10" t="s">
        <v>824</v>
      </c>
      <c r="D420" s="9" t="n">
        <v>46202</v>
      </c>
      <c r="E420" s="10" t="s">
        <v>14</v>
      </c>
      <c r="F420" s="10" t="s">
        <v>15</v>
      </c>
      <c r="G420" s="10" t="s">
        <v>16</v>
      </c>
      <c r="H420" s="10" t="s">
        <v>18</v>
      </c>
      <c r="I420" s="11" t="s">
        <v>809</v>
      </c>
      <c r="J420" s="10" t="n">
        <f aca="false">IF(COUNTIFS($E$2:E420,E420,$A$2:A420,A420)=1,1,0)</f>
        <v>0</v>
      </c>
    </row>
    <row r="421" customFormat="false" ht="15" hidden="false" customHeight="false" outlineLevel="0" collapsed="false">
      <c r="A421" s="9" t="n">
        <v>46193</v>
      </c>
      <c r="B421" s="10" t="s">
        <v>807</v>
      </c>
      <c r="C421" s="10" t="s">
        <v>825</v>
      </c>
      <c r="D421" s="9" t="n">
        <v>46203</v>
      </c>
      <c r="E421" s="10" t="s">
        <v>43</v>
      </c>
      <c r="F421" s="10" t="s">
        <v>44</v>
      </c>
      <c r="G421" s="10" t="s">
        <v>45</v>
      </c>
      <c r="H421" s="10" t="s">
        <v>826</v>
      </c>
      <c r="I421" s="11" t="s">
        <v>809</v>
      </c>
      <c r="J421" s="10" t="n">
        <f aca="false">IF(COUNTIFS($E$2:E421,E421,$A$2:A421,A421)=1,1,0)</f>
        <v>1</v>
      </c>
    </row>
    <row r="422" customFormat="false" ht="15" hidden="false" customHeight="false" outlineLevel="0" collapsed="false">
      <c r="A422" s="9" t="n">
        <v>46193</v>
      </c>
      <c r="B422" s="10" t="s">
        <v>807</v>
      </c>
      <c r="C422" s="10" t="s">
        <v>827</v>
      </c>
      <c r="D422" s="9" t="n">
        <v>46203</v>
      </c>
      <c r="E422" s="10" t="s">
        <v>43</v>
      </c>
      <c r="F422" s="10" t="s">
        <v>44</v>
      </c>
      <c r="G422" s="10" t="s">
        <v>45</v>
      </c>
      <c r="H422" s="10" t="s">
        <v>18</v>
      </c>
      <c r="I422" s="11" t="s">
        <v>809</v>
      </c>
      <c r="J422" s="10" t="n">
        <f aca="false">IF(COUNTIFS($E$2:E422,E422,$A$2:A422,A422)=1,1,0)</f>
        <v>0</v>
      </c>
    </row>
    <row r="423" customFormat="false" ht="15" hidden="false" customHeight="false" outlineLevel="0" collapsed="false">
      <c r="A423" s="9" t="n">
        <v>46193</v>
      </c>
      <c r="B423" s="10" t="s">
        <v>807</v>
      </c>
      <c r="C423" s="10" t="s">
        <v>382</v>
      </c>
      <c r="D423" s="9" t="n">
        <v>46203</v>
      </c>
      <c r="E423" s="10" t="s">
        <v>381</v>
      </c>
      <c r="F423" s="10" t="s">
        <v>166</v>
      </c>
      <c r="G423" s="10" t="s">
        <v>54</v>
      </c>
      <c r="H423" s="10" t="s">
        <v>18</v>
      </c>
      <c r="I423" s="11" t="s">
        <v>809</v>
      </c>
      <c r="J423" s="10" t="n">
        <f aca="false">IF(COUNTIFS($E$2:E423,E423,$A$2:A423,A423)=1,1,0)</f>
        <v>1</v>
      </c>
    </row>
    <row r="424" customFormat="false" ht="15" hidden="false" customHeight="false" outlineLevel="0" collapsed="false">
      <c r="A424" s="9" t="n">
        <v>46193</v>
      </c>
      <c r="B424" s="10" t="s">
        <v>807</v>
      </c>
      <c r="C424" s="10" t="s">
        <v>430</v>
      </c>
      <c r="D424" s="9" t="n">
        <v>46203</v>
      </c>
      <c r="E424" s="10" t="s">
        <v>429</v>
      </c>
      <c r="F424" s="10" t="s">
        <v>15</v>
      </c>
      <c r="G424" s="10" t="s">
        <v>16</v>
      </c>
      <c r="H424" s="10" t="s">
        <v>18</v>
      </c>
      <c r="I424" s="11" t="s">
        <v>809</v>
      </c>
      <c r="J424" s="10" t="n">
        <f aca="false">IF(COUNTIFS($E$2:E424,E424,$A$2:A424,A424)=1,1,0)</f>
        <v>1</v>
      </c>
    </row>
    <row r="425" customFormat="false" ht="15" hidden="false" customHeight="false" outlineLevel="0" collapsed="false">
      <c r="A425" s="9" t="n">
        <v>46193</v>
      </c>
      <c r="B425" s="10" t="s">
        <v>807</v>
      </c>
      <c r="C425" s="10" t="s">
        <v>130</v>
      </c>
      <c r="D425" s="9" t="n">
        <v>46203</v>
      </c>
      <c r="E425" s="10" t="s">
        <v>129</v>
      </c>
      <c r="F425" s="10" t="s">
        <v>87</v>
      </c>
      <c r="G425" s="10" t="s">
        <v>54</v>
      </c>
      <c r="H425" s="10" t="s">
        <v>18</v>
      </c>
      <c r="I425" s="11" t="s">
        <v>809</v>
      </c>
      <c r="J425" s="10" t="n">
        <f aca="false">IF(COUNTIFS($E$2:E425,E425,$A$2:A425,A425)=1,1,0)</f>
        <v>1</v>
      </c>
    </row>
    <row r="426" customFormat="false" ht="15" hidden="false" customHeight="false" outlineLevel="0" collapsed="false">
      <c r="A426" s="9" t="n">
        <v>46193</v>
      </c>
      <c r="B426" s="10" t="s">
        <v>807</v>
      </c>
      <c r="C426" s="10" t="s">
        <v>828</v>
      </c>
      <c r="D426" s="9" t="n">
        <v>46203</v>
      </c>
      <c r="E426" s="10" t="s">
        <v>14</v>
      </c>
      <c r="F426" s="10" t="s">
        <v>15</v>
      </c>
      <c r="G426" s="10" t="s">
        <v>16</v>
      </c>
      <c r="H426" s="10" t="s">
        <v>18</v>
      </c>
      <c r="I426" s="11" t="s">
        <v>809</v>
      </c>
      <c r="J426" s="10" t="n">
        <f aca="false">IF(COUNTIFS($E$2:E426,E426,$A$2:A426,A426)=1,1,0)</f>
        <v>0</v>
      </c>
    </row>
    <row r="427" customFormat="false" ht="15" hidden="false" customHeight="false" outlineLevel="0" collapsed="false">
      <c r="A427" s="9" t="n">
        <v>46193</v>
      </c>
      <c r="B427" s="10" t="s">
        <v>807</v>
      </c>
      <c r="C427" s="10" t="s">
        <v>829</v>
      </c>
      <c r="D427" s="9" t="n">
        <v>46203</v>
      </c>
      <c r="E427" s="10" t="s">
        <v>14</v>
      </c>
      <c r="F427" s="10" t="s">
        <v>15</v>
      </c>
      <c r="G427" s="10" t="s">
        <v>16</v>
      </c>
      <c r="H427" s="10" t="s">
        <v>18</v>
      </c>
      <c r="I427" s="11" t="s">
        <v>809</v>
      </c>
      <c r="J427" s="10" t="n">
        <f aca="false">IF(COUNTIFS($E$2:E427,E427,$A$2:A427,A427)=1,1,0)</f>
        <v>0</v>
      </c>
    </row>
    <row r="428" customFormat="false" ht="15" hidden="false" customHeight="false" outlineLevel="0" collapsed="false">
      <c r="A428" s="9" t="n">
        <v>46193</v>
      </c>
      <c r="B428" s="10" t="s">
        <v>807</v>
      </c>
      <c r="C428" s="10" t="s">
        <v>830</v>
      </c>
      <c r="D428" s="9" t="n">
        <v>46203</v>
      </c>
      <c r="E428" s="10" t="s">
        <v>53</v>
      </c>
      <c r="F428" s="10" t="s">
        <v>15</v>
      </c>
      <c r="G428" s="10" t="s">
        <v>54</v>
      </c>
      <c r="H428" s="10" t="s">
        <v>69</v>
      </c>
      <c r="I428" s="11" t="s">
        <v>809</v>
      </c>
      <c r="J428" s="10" t="n">
        <f aca="false">IF(COUNTIFS($E$2:E428,E428,$A$2:A428,A428)=1,1,0)</f>
        <v>0</v>
      </c>
    </row>
    <row r="429" customFormat="false" ht="15" hidden="false" customHeight="false" outlineLevel="0" collapsed="false">
      <c r="A429" s="9" t="n">
        <v>46193</v>
      </c>
      <c r="B429" s="10" t="s">
        <v>807</v>
      </c>
      <c r="C429" s="10" t="s">
        <v>831</v>
      </c>
      <c r="D429" s="9" t="n">
        <v>46203</v>
      </c>
      <c r="E429" s="10" t="s">
        <v>53</v>
      </c>
      <c r="F429" s="10" t="s">
        <v>15</v>
      </c>
      <c r="G429" s="10" t="s">
        <v>54</v>
      </c>
      <c r="H429" s="10" t="s">
        <v>18</v>
      </c>
      <c r="I429" s="11" t="s">
        <v>809</v>
      </c>
      <c r="J429" s="10" t="n">
        <f aca="false">IF(COUNTIFS($E$2:E429,E429,$A$2:A429,A429)=1,1,0)</f>
        <v>0</v>
      </c>
    </row>
    <row r="430" customFormat="false" ht="15" hidden="false" customHeight="false" outlineLevel="0" collapsed="false">
      <c r="A430" s="9" t="n">
        <v>46193</v>
      </c>
      <c r="B430" s="10" t="s">
        <v>807</v>
      </c>
      <c r="C430" s="10" t="s">
        <v>832</v>
      </c>
      <c r="D430" s="9" t="n">
        <v>46204</v>
      </c>
      <c r="E430" s="10" t="s">
        <v>43</v>
      </c>
      <c r="F430" s="10" t="s">
        <v>44</v>
      </c>
      <c r="G430" s="10" t="s">
        <v>45</v>
      </c>
      <c r="H430" s="10" t="s">
        <v>833</v>
      </c>
      <c r="I430" s="11" t="s">
        <v>809</v>
      </c>
      <c r="J430" s="10" t="n">
        <f aca="false">IF(COUNTIFS($E$2:E430,E430,$A$2:A430,A430)=1,1,0)</f>
        <v>0</v>
      </c>
    </row>
    <row r="431" customFormat="false" ht="15" hidden="false" customHeight="false" outlineLevel="0" collapsed="false">
      <c r="A431" s="9" t="n">
        <v>46193</v>
      </c>
      <c r="B431" s="10" t="s">
        <v>807</v>
      </c>
      <c r="C431" s="10" t="s">
        <v>755</v>
      </c>
      <c r="D431" s="9" t="n">
        <v>46204</v>
      </c>
      <c r="E431" s="10" t="s">
        <v>43</v>
      </c>
      <c r="F431" s="10" t="s">
        <v>44</v>
      </c>
      <c r="G431" s="10" t="s">
        <v>45</v>
      </c>
      <c r="H431" s="10" t="s">
        <v>703</v>
      </c>
      <c r="I431" s="11" t="s">
        <v>809</v>
      </c>
      <c r="J431" s="10" t="n">
        <f aca="false">IF(COUNTIFS($E$2:E431,E431,$A$2:A431,A431)=1,1,0)</f>
        <v>0</v>
      </c>
    </row>
    <row r="432" customFormat="false" ht="15" hidden="false" customHeight="false" outlineLevel="0" collapsed="false">
      <c r="A432" s="9" t="n">
        <v>46193</v>
      </c>
      <c r="B432" s="10" t="s">
        <v>807</v>
      </c>
      <c r="C432" s="10" t="s">
        <v>649</v>
      </c>
      <c r="D432" s="9" t="n">
        <v>46204</v>
      </c>
      <c r="E432" s="10" t="s">
        <v>62</v>
      </c>
      <c r="F432" s="10" t="s">
        <v>15</v>
      </c>
      <c r="G432" s="10" t="s">
        <v>63</v>
      </c>
      <c r="H432" s="10" t="s">
        <v>69</v>
      </c>
      <c r="I432" s="11" t="s">
        <v>809</v>
      </c>
      <c r="J432" s="10" t="n">
        <f aca="false">IF(COUNTIFS($E$2:E432,E432,$A$2:A432,A432)=1,1,0)</f>
        <v>0</v>
      </c>
    </row>
    <row r="433" customFormat="false" ht="15" hidden="false" customHeight="false" outlineLevel="0" collapsed="false">
      <c r="A433" s="9" t="n">
        <v>46193</v>
      </c>
      <c r="B433" s="10" t="s">
        <v>807</v>
      </c>
      <c r="C433" s="10" t="s">
        <v>834</v>
      </c>
      <c r="D433" s="9" t="n">
        <v>46204</v>
      </c>
      <c r="E433" s="10" t="s">
        <v>150</v>
      </c>
      <c r="F433" s="10" t="s">
        <v>15</v>
      </c>
      <c r="G433" s="10" t="s">
        <v>16</v>
      </c>
      <c r="H433" s="10" t="s">
        <v>18</v>
      </c>
      <c r="I433" s="11" t="s">
        <v>809</v>
      </c>
      <c r="J433" s="10" t="n">
        <f aca="false">IF(COUNTIFS($E$2:E433,E433,$A$2:A433,A433)=1,1,0)</f>
        <v>0</v>
      </c>
    </row>
    <row r="434" customFormat="false" ht="15" hidden="false" customHeight="false" outlineLevel="0" collapsed="false">
      <c r="A434" s="9" t="n">
        <v>46193</v>
      </c>
      <c r="B434" s="10" t="s">
        <v>807</v>
      </c>
      <c r="C434" s="10" t="s">
        <v>370</v>
      </c>
      <c r="D434" s="9" t="n">
        <v>46204</v>
      </c>
      <c r="E434" s="10" t="s">
        <v>369</v>
      </c>
      <c r="F434" s="10" t="s">
        <v>15</v>
      </c>
      <c r="G434" s="10" t="s">
        <v>45</v>
      </c>
      <c r="H434" s="10" t="s">
        <v>18</v>
      </c>
      <c r="I434" s="11" t="s">
        <v>809</v>
      </c>
      <c r="J434" s="10" t="n">
        <f aca="false">IF(COUNTIFS($E$2:E434,E434,$A$2:A434,A434)=1,1,0)</f>
        <v>1</v>
      </c>
    </row>
    <row r="435" customFormat="false" ht="15" hidden="false" customHeight="false" outlineLevel="0" collapsed="false">
      <c r="A435" s="9" t="n">
        <v>46193</v>
      </c>
      <c r="B435" s="10" t="s">
        <v>807</v>
      </c>
      <c r="C435" s="10" t="s">
        <v>835</v>
      </c>
      <c r="D435" s="9" t="n">
        <v>46204</v>
      </c>
      <c r="E435" s="10" t="s">
        <v>369</v>
      </c>
      <c r="F435" s="10" t="s">
        <v>15</v>
      </c>
      <c r="G435" s="10" t="s">
        <v>45</v>
      </c>
      <c r="H435" s="10" t="s">
        <v>18</v>
      </c>
      <c r="I435" s="11" t="s">
        <v>809</v>
      </c>
      <c r="J435" s="10" t="n">
        <f aca="false">IF(COUNTIFS($E$2:E435,E435,$A$2:A435,A435)=1,1,0)</f>
        <v>0</v>
      </c>
    </row>
    <row r="436" customFormat="false" ht="15" hidden="false" customHeight="false" outlineLevel="0" collapsed="false">
      <c r="A436" s="9" t="n">
        <v>46193</v>
      </c>
      <c r="B436" s="10" t="s">
        <v>807</v>
      </c>
      <c r="C436" s="10" t="s">
        <v>836</v>
      </c>
      <c r="D436" s="9" t="n">
        <v>46204</v>
      </c>
      <c r="E436" s="10" t="s">
        <v>14</v>
      </c>
      <c r="F436" s="10" t="s">
        <v>15</v>
      </c>
      <c r="G436" s="10" t="s">
        <v>16</v>
      </c>
      <c r="H436" s="10" t="s">
        <v>18</v>
      </c>
      <c r="I436" s="11" t="s">
        <v>809</v>
      </c>
      <c r="J436" s="10" t="n">
        <f aca="false">IF(COUNTIFS($E$2:E436,E436,$A$2:A436,A436)=1,1,0)</f>
        <v>0</v>
      </c>
    </row>
    <row r="437" customFormat="false" ht="15" hidden="false" customHeight="false" outlineLevel="0" collapsed="false">
      <c r="A437" s="9" t="n">
        <v>46193</v>
      </c>
      <c r="B437" s="10" t="s">
        <v>807</v>
      </c>
      <c r="C437" s="10" t="s">
        <v>837</v>
      </c>
      <c r="D437" s="9" t="n">
        <v>46204</v>
      </c>
      <c r="E437" s="10" t="s">
        <v>14</v>
      </c>
      <c r="F437" s="10" t="s">
        <v>15</v>
      </c>
      <c r="G437" s="10" t="s">
        <v>16</v>
      </c>
      <c r="H437" s="10" t="s">
        <v>18</v>
      </c>
      <c r="I437" s="11" t="s">
        <v>809</v>
      </c>
      <c r="J437" s="10" t="n">
        <f aca="false">IF(COUNTIFS($E$2:E437,E437,$A$2:A437,A437)=1,1,0)</f>
        <v>0</v>
      </c>
    </row>
    <row r="438" customFormat="false" ht="15" hidden="false" customHeight="false" outlineLevel="0" collapsed="false">
      <c r="A438" s="9" t="n">
        <v>46193</v>
      </c>
      <c r="B438" s="10" t="s">
        <v>807</v>
      </c>
      <c r="C438" s="10" t="s">
        <v>838</v>
      </c>
      <c r="D438" s="9" t="n">
        <v>46204</v>
      </c>
      <c r="E438" s="10" t="s">
        <v>14</v>
      </c>
      <c r="F438" s="10" t="s">
        <v>15</v>
      </c>
      <c r="G438" s="10" t="s">
        <v>16</v>
      </c>
      <c r="H438" s="10" t="s">
        <v>18</v>
      </c>
      <c r="I438" s="11" t="s">
        <v>809</v>
      </c>
      <c r="J438" s="10" t="n">
        <f aca="false">IF(COUNTIFS($E$2:E438,E438,$A$2:A438,A438)=1,1,0)</f>
        <v>0</v>
      </c>
    </row>
    <row r="439" customFormat="false" ht="15" hidden="false" customHeight="false" outlineLevel="0" collapsed="false">
      <c r="A439" s="9" t="n">
        <v>46193</v>
      </c>
      <c r="B439" s="10" t="s">
        <v>807</v>
      </c>
      <c r="C439" s="10" t="s">
        <v>839</v>
      </c>
      <c r="D439" s="9" t="n">
        <v>46204</v>
      </c>
      <c r="E439" s="10" t="s">
        <v>14</v>
      </c>
      <c r="F439" s="10" t="s">
        <v>15</v>
      </c>
      <c r="G439" s="10" t="s">
        <v>16</v>
      </c>
      <c r="H439" s="10" t="s">
        <v>840</v>
      </c>
      <c r="I439" s="11" t="s">
        <v>809</v>
      </c>
      <c r="J439" s="10" t="n">
        <f aca="false">IF(COUNTIFS($E$2:E439,E439,$A$2:A439,A439)=1,1,0)</f>
        <v>0</v>
      </c>
    </row>
    <row r="440" customFormat="false" ht="15" hidden="false" customHeight="false" outlineLevel="0" collapsed="false">
      <c r="A440" s="9" t="n">
        <v>46193</v>
      </c>
      <c r="B440" s="10" t="s">
        <v>807</v>
      </c>
      <c r="C440" s="10" t="s">
        <v>841</v>
      </c>
      <c r="D440" s="9" t="n">
        <v>46204</v>
      </c>
      <c r="E440" s="10" t="s">
        <v>14</v>
      </c>
      <c r="F440" s="10" t="s">
        <v>15</v>
      </c>
      <c r="G440" s="10" t="s">
        <v>16</v>
      </c>
      <c r="H440" s="10" t="s">
        <v>18</v>
      </c>
      <c r="I440" s="11" t="s">
        <v>809</v>
      </c>
      <c r="J440" s="10" t="n">
        <f aca="false">IF(COUNTIFS($E$2:E440,E440,$A$2:A440,A440)=1,1,0)</f>
        <v>0</v>
      </c>
    </row>
    <row r="441" customFormat="false" ht="15" hidden="false" customHeight="false" outlineLevel="0" collapsed="false">
      <c r="A441" s="9" t="n">
        <v>46193</v>
      </c>
      <c r="B441" s="10" t="s">
        <v>807</v>
      </c>
      <c r="C441" s="10" t="s">
        <v>740</v>
      </c>
      <c r="D441" s="9" t="n">
        <v>46204</v>
      </c>
      <c r="E441" s="10" t="s">
        <v>14</v>
      </c>
      <c r="F441" s="10" t="s">
        <v>15</v>
      </c>
      <c r="G441" s="10" t="s">
        <v>16</v>
      </c>
      <c r="H441" s="10" t="s">
        <v>18</v>
      </c>
      <c r="I441" s="11" t="s">
        <v>809</v>
      </c>
      <c r="J441" s="10" t="n">
        <f aca="false">IF(COUNTIFS($E$2:E441,E441,$A$2:A441,A441)=1,1,0)</f>
        <v>0</v>
      </c>
    </row>
    <row r="442" customFormat="false" ht="15" hidden="false" customHeight="false" outlineLevel="0" collapsed="false">
      <c r="A442" s="9" t="n">
        <v>46193</v>
      </c>
      <c r="B442" s="10" t="s">
        <v>807</v>
      </c>
      <c r="C442" s="10" t="s">
        <v>842</v>
      </c>
      <c r="D442" s="9" t="n">
        <v>46204</v>
      </c>
      <c r="E442" s="10" t="s">
        <v>14</v>
      </c>
      <c r="F442" s="10" t="s">
        <v>15</v>
      </c>
      <c r="G442" s="10" t="s">
        <v>16</v>
      </c>
      <c r="H442" s="10" t="s">
        <v>18</v>
      </c>
      <c r="I442" s="11" t="s">
        <v>809</v>
      </c>
      <c r="J442" s="10" t="n">
        <f aca="false">IF(COUNTIFS($E$2:E442,E442,$A$2:A442,A442)=1,1,0)</f>
        <v>0</v>
      </c>
    </row>
    <row r="443" customFormat="false" ht="15" hidden="false" customHeight="false" outlineLevel="0" collapsed="false">
      <c r="A443" s="9" t="n">
        <v>46193</v>
      </c>
      <c r="B443" s="10" t="s">
        <v>807</v>
      </c>
      <c r="C443" s="10" t="s">
        <v>843</v>
      </c>
      <c r="D443" s="9" t="n">
        <v>46204</v>
      </c>
      <c r="E443" s="10" t="s">
        <v>14</v>
      </c>
      <c r="F443" s="10" t="s">
        <v>15</v>
      </c>
      <c r="G443" s="10" t="s">
        <v>16</v>
      </c>
      <c r="H443" s="10" t="s">
        <v>18</v>
      </c>
      <c r="I443" s="11" t="s">
        <v>809</v>
      </c>
      <c r="J443" s="10" t="n">
        <f aca="false">IF(COUNTIFS($E$2:E443,E443,$A$2:A443,A443)=1,1,0)</f>
        <v>0</v>
      </c>
    </row>
    <row r="444" customFormat="false" ht="15" hidden="false" customHeight="false" outlineLevel="0" collapsed="false">
      <c r="A444" s="9" t="n">
        <v>46193</v>
      </c>
      <c r="B444" s="10" t="s">
        <v>807</v>
      </c>
      <c r="C444" s="10" t="s">
        <v>844</v>
      </c>
      <c r="D444" s="9" t="n">
        <v>46204</v>
      </c>
      <c r="E444" s="10" t="s">
        <v>14</v>
      </c>
      <c r="F444" s="10" t="s">
        <v>15</v>
      </c>
      <c r="G444" s="10" t="s">
        <v>16</v>
      </c>
      <c r="H444" s="10" t="s">
        <v>18</v>
      </c>
      <c r="I444" s="11" t="s">
        <v>809</v>
      </c>
      <c r="J444" s="10" t="n">
        <f aca="false">IF(COUNTIFS($E$2:E444,E444,$A$2:A444,A444)=1,1,0)</f>
        <v>0</v>
      </c>
    </row>
    <row r="445" customFormat="false" ht="15" hidden="false" customHeight="false" outlineLevel="0" collapsed="false">
      <c r="A445" s="9" t="n">
        <v>46193</v>
      </c>
      <c r="B445" s="10" t="s">
        <v>807</v>
      </c>
      <c r="C445" s="10" t="s">
        <v>650</v>
      </c>
      <c r="D445" s="9" t="n">
        <v>46205</v>
      </c>
      <c r="E445" s="10" t="s">
        <v>43</v>
      </c>
      <c r="F445" s="10" t="s">
        <v>44</v>
      </c>
      <c r="G445" s="10" t="s">
        <v>45</v>
      </c>
      <c r="H445" s="10" t="s">
        <v>18</v>
      </c>
      <c r="I445" s="11" t="s">
        <v>809</v>
      </c>
      <c r="J445" s="10" t="n">
        <f aca="false">IF(COUNTIFS($E$2:E445,E445,$A$2:A445,A445)=1,1,0)</f>
        <v>0</v>
      </c>
    </row>
    <row r="446" customFormat="false" ht="15" hidden="false" customHeight="false" outlineLevel="0" collapsed="false">
      <c r="A446" s="9" t="n">
        <v>46193</v>
      </c>
      <c r="B446" s="10" t="s">
        <v>807</v>
      </c>
      <c r="C446" s="10" t="s">
        <v>482</v>
      </c>
      <c r="D446" s="9" t="n">
        <v>46205</v>
      </c>
      <c r="E446" s="10" t="s">
        <v>481</v>
      </c>
      <c r="F446" s="10" t="s">
        <v>154</v>
      </c>
      <c r="G446" s="10" t="s">
        <v>16</v>
      </c>
      <c r="H446" s="10" t="s">
        <v>18</v>
      </c>
      <c r="I446" s="11" t="s">
        <v>809</v>
      </c>
      <c r="J446" s="10" t="n">
        <f aca="false">IF(COUNTIFS($E$2:E446,E446,$A$2:A446,A446)=1,1,0)</f>
        <v>1</v>
      </c>
    </row>
    <row r="447" customFormat="false" ht="15" hidden="false" customHeight="false" outlineLevel="0" collapsed="false">
      <c r="A447" s="9" t="n">
        <v>46193</v>
      </c>
      <c r="B447" s="10" t="s">
        <v>807</v>
      </c>
      <c r="C447" s="10" t="s">
        <v>845</v>
      </c>
      <c r="D447" s="9" t="n">
        <v>46205</v>
      </c>
      <c r="E447" s="10" t="s">
        <v>38</v>
      </c>
      <c r="F447" s="10" t="s">
        <v>15</v>
      </c>
      <c r="G447" s="10" t="s">
        <v>39</v>
      </c>
      <c r="H447" s="10" t="s">
        <v>18</v>
      </c>
      <c r="I447" s="11" t="s">
        <v>809</v>
      </c>
      <c r="J447" s="10" t="n">
        <f aca="false">IF(COUNTIFS($E$2:E447,E447,$A$2:A447,A447)=1,1,0)</f>
        <v>1</v>
      </c>
    </row>
    <row r="448" customFormat="false" ht="15" hidden="false" customHeight="false" outlineLevel="0" collapsed="false">
      <c r="A448" s="9" t="n">
        <v>46193</v>
      </c>
      <c r="B448" s="10" t="s">
        <v>807</v>
      </c>
      <c r="C448" s="10" t="s">
        <v>846</v>
      </c>
      <c r="D448" s="9" t="n">
        <v>46205</v>
      </c>
      <c r="E448" s="10" t="s">
        <v>14</v>
      </c>
      <c r="F448" s="10" t="s">
        <v>15</v>
      </c>
      <c r="G448" s="10" t="s">
        <v>16</v>
      </c>
      <c r="H448" s="10" t="s">
        <v>18</v>
      </c>
      <c r="I448" s="11" t="s">
        <v>809</v>
      </c>
      <c r="J448" s="10" t="n">
        <f aca="false">IF(COUNTIFS($E$2:E448,E448,$A$2:A448,A448)=1,1,0)</f>
        <v>0</v>
      </c>
    </row>
    <row r="449" customFormat="false" ht="15" hidden="false" customHeight="false" outlineLevel="0" collapsed="false">
      <c r="A449" s="9" t="n">
        <v>46193</v>
      </c>
      <c r="B449" s="10" t="s">
        <v>807</v>
      </c>
      <c r="C449" s="10" t="s">
        <v>847</v>
      </c>
      <c r="D449" s="9" t="n">
        <v>46205</v>
      </c>
      <c r="E449" s="10" t="s">
        <v>14</v>
      </c>
      <c r="F449" s="10" t="s">
        <v>15</v>
      </c>
      <c r="G449" s="10" t="s">
        <v>16</v>
      </c>
      <c r="H449" s="10" t="s">
        <v>848</v>
      </c>
      <c r="I449" s="11" t="s">
        <v>809</v>
      </c>
      <c r="J449" s="10" t="n">
        <f aca="false">IF(COUNTIFS($E$2:E449,E449,$A$2:A449,A449)=1,1,0)</f>
        <v>0</v>
      </c>
    </row>
    <row r="450" customFormat="false" ht="15" hidden="false" customHeight="false" outlineLevel="0" collapsed="false">
      <c r="A450" s="9" t="n">
        <v>46193</v>
      </c>
      <c r="B450" s="10" t="s">
        <v>807</v>
      </c>
      <c r="C450" s="10" t="s">
        <v>849</v>
      </c>
      <c r="D450" s="9" t="n">
        <v>46205</v>
      </c>
      <c r="E450" s="10" t="s">
        <v>14</v>
      </c>
      <c r="F450" s="10" t="s">
        <v>15</v>
      </c>
      <c r="G450" s="10" t="s">
        <v>16</v>
      </c>
      <c r="H450" s="10" t="s">
        <v>18</v>
      </c>
      <c r="I450" s="11" t="s">
        <v>809</v>
      </c>
      <c r="J450" s="10" t="n">
        <f aca="false">IF(COUNTIFS($E$2:E450,E450,$A$2:A450,A450)=1,1,0)</f>
        <v>0</v>
      </c>
    </row>
    <row r="451" customFormat="false" ht="15" hidden="false" customHeight="false" outlineLevel="0" collapsed="false">
      <c r="A451" s="9" t="n">
        <v>46193</v>
      </c>
      <c r="B451" s="10" t="s">
        <v>807</v>
      </c>
      <c r="C451" s="10" t="s">
        <v>850</v>
      </c>
      <c r="D451" s="9" t="n">
        <v>46205</v>
      </c>
      <c r="E451" s="10" t="s">
        <v>14</v>
      </c>
      <c r="F451" s="10" t="s">
        <v>15</v>
      </c>
      <c r="G451" s="10" t="s">
        <v>16</v>
      </c>
      <c r="H451" s="10" t="s">
        <v>18</v>
      </c>
      <c r="I451" s="11" t="s">
        <v>809</v>
      </c>
      <c r="J451" s="10" t="n">
        <f aca="false">IF(COUNTIFS($E$2:E451,E451,$A$2:A451,A451)=1,1,0)</f>
        <v>0</v>
      </c>
    </row>
    <row r="452" customFormat="false" ht="15" hidden="false" customHeight="false" outlineLevel="0" collapsed="false">
      <c r="A452" s="9" t="n">
        <v>46193</v>
      </c>
      <c r="B452" s="10" t="s">
        <v>807</v>
      </c>
      <c r="C452" s="10" t="s">
        <v>851</v>
      </c>
      <c r="D452" s="9" t="n">
        <v>46205</v>
      </c>
      <c r="E452" s="10" t="s">
        <v>14</v>
      </c>
      <c r="F452" s="10" t="s">
        <v>15</v>
      </c>
      <c r="G452" s="10" t="s">
        <v>16</v>
      </c>
      <c r="H452" s="10" t="s">
        <v>18</v>
      </c>
      <c r="I452" s="11" t="s">
        <v>809</v>
      </c>
      <c r="J452" s="10" t="n">
        <f aca="false">IF(COUNTIFS($E$2:E452,E452,$A$2:A452,A452)=1,1,0)</f>
        <v>0</v>
      </c>
    </row>
    <row r="453" customFormat="false" ht="15" hidden="false" customHeight="false" outlineLevel="0" collapsed="false">
      <c r="A453" s="9" t="n">
        <v>46193</v>
      </c>
      <c r="B453" s="10" t="s">
        <v>807</v>
      </c>
      <c r="C453" s="10" t="s">
        <v>852</v>
      </c>
      <c r="D453" s="9" t="n">
        <v>46205</v>
      </c>
      <c r="E453" s="10" t="s">
        <v>14</v>
      </c>
      <c r="F453" s="10" t="s">
        <v>15</v>
      </c>
      <c r="G453" s="10" t="s">
        <v>16</v>
      </c>
      <c r="H453" s="10" t="s">
        <v>18</v>
      </c>
      <c r="I453" s="11" t="s">
        <v>809</v>
      </c>
      <c r="J453" s="10" t="n">
        <f aca="false">IF(COUNTIFS($E$2:E453,E453,$A$2:A453,A453)=1,1,0)</f>
        <v>0</v>
      </c>
    </row>
    <row r="454" customFormat="false" ht="15" hidden="false" customHeight="false" outlineLevel="0" collapsed="false">
      <c r="A454" s="9" t="n">
        <v>46193</v>
      </c>
      <c r="B454" s="10" t="s">
        <v>807</v>
      </c>
      <c r="C454" s="10" t="s">
        <v>853</v>
      </c>
      <c r="D454" s="9" t="n">
        <v>46205</v>
      </c>
      <c r="E454" s="10" t="s">
        <v>14</v>
      </c>
      <c r="F454" s="10" t="s">
        <v>15</v>
      </c>
      <c r="G454" s="10" t="s">
        <v>16</v>
      </c>
      <c r="H454" s="10" t="s">
        <v>854</v>
      </c>
      <c r="I454" s="11" t="s">
        <v>809</v>
      </c>
      <c r="J454" s="10" t="n">
        <f aca="false">IF(COUNTIFS($E$2:E454,E454,$A$2:A454,A454)=1,1,0)</f>
        <v>0</v>
      </c>
    </row>
    <row r="455" customFormat="false" ht="15" hidden="false" customHeight="false" outlineLevel="0" collapsed="false">
      <c r="A455" s="9" t="n">
        <v>46193</v>
      </c>
      <c r="B455" s="10" t="s">
        <v>807</v>
      </c>
      <c r="C455" s="10" t="s">
        <v>467</v>
      </c>
      <c r="D455" s="9" t="n">
        <v>46206</v>
      </c>
      <c r="E455" s="10" t="s">
        <v>465</v>
      </c>
      <c r="F455" s="10" t="s">
        <v>15</v>
      </c>
      <c r="G455" s="10" t="s">
        <v>466</v>
      </c>
      <c r="H455" s="10" t="s">
        <v>18</v>
      </c>
      <c r="I455" s="11" t="s">
        <v>809</v>
      </c>
      <c r="J455" s="10" t="n">
        <f aca="false">IF(COUNTIFS($E$2:E455,E455,$A$2:A455,A455)=1,1,0)</f>
        <v>1</v>
      </c>
    </row>
    <row r="456" customFormat="false" ht="15" hidden="false" customHeight="false" outlineLevel="0" collapsed="false">
      <c r="A456" s="9" t="n">
        <v>46193</v>
      </c>
      <c r="B456" s="10" t="s">
        <v>807</v>
      </c>
      <c r="C456" s="10" t="s">
        <v>855</v>
      </c>
      <c r="D456" s="9" t="n">
        <v>46206</v>
      </c>
      <c r="E456" s="10" t="s">
        <v>38</v>
      </c>
      <c r="F456" s="10" t="s">
        <v>15</v>
      </c>
      <c r="G456" s="10" t="s">
        <v>39</v>
      </c>
      <c r="H456" s="10" t="s">
        <v>18</v>
      </c>
      <c r="I456" s="11" t="s">
        <v>809</v>
      </c>
      <c r="J456" s="10" t="n">
        <f aca="false">IF(COUNTIFS($E$2:E456,E456,$A$2:A456,A456)=1,1,0)</f>
        <v>0</v>
      </c>
    </row>
    <row r="457" customFormat="false" ht="15" hidden="false" customHeight="false" outlineLevel="0" collapsed="false">
      <c r="A457" s="9" t="n">
        <v>46193</v>
      </c>
      <c r="B457" s="10" t="s">
        <v>807</v>
      </c>
      <c r="C457" s="10" t="s">
        <v>856</v>
      </c>
      <c r="D457" s="9" t="n">
        <v>46206</v>
      </c>
      <c r="E457" s="10" t="s">
        <v>14</v>
      </c>
      <c r="F457" s="10" t="s">
        <v>15</v>
      </c>
      <c r="G457" s="10" t="s">
        <v>16</v>
      </c>
      <c r="H457" s="10" t="s">
        <v>18</v>
      </c>
      <c r="I457" s="11" t="s">
        <v>809</v>
      </c>
      <c r="J457" s="10" t="n">
        <f aca="false">IF(COUNTIFS($E$2:E457,E457,$A$2:A457,A457)=1,1,0)</f>
        <v>0</v>
      </c>
    </row>
    <row r="458" customFormat="false" ht="15" hidden="false" customHeight="false" outlineLevel="0" collapsed="false">
      <c r="A458" s="9" t="n">
        <v>46193</v>
      </c>
      <c r="B458" s="10" t="s">
        <v>807</v>
      </c>
      <c r="C458" s="10" t="s">
        <v>857</v>
      </c>
      <c r="D458" s="9" t="n">
        <v>46206</v>
      </c>
      <c r="E458" s="10" t="s">
        <v>14</v>
      </c>
      <c r="F458" s="10" t="s">
        <v>15</v>
      </c>
      <c r="G458" s="10" t="s">
        <v>16</v>
      </c>
      <c r="H458" s="10" t="s">
        <v>858</v>
      </c>
      <c r="I458" s="11" t="s">
        <v>809</v>
      </c>
      <c r="J458" s="10" t="n">
        <f aca="false">IF(COUNTIFS($E$2:E458,E458,$A$2:A458,A458)=1,1,0)</f>
        <v>0</v>
      </c>
    </row>
    <row r="459" customFormat="false" ht="15" hidden="false" customHeight="false" outlineLevel="0" collapsed="false">
      <c r="A459" s="9" t="n">
        <v>46193</v>
      </c>
      <c r="B459" s="10" t="s">
        <v>807</v>
      </c>
      <c r="C459" s="10" t="s">
        <v>859</v>
      </c>
      <c r="D459" s="9" t="n">
        <v>46206</v>
      </c>
      <c r="E459" s="10" t="s">
        <v>14</v>
      </c>
      <c r="F459" s="10" t="s">
        <v>15</v>
      </c>
      <c r="G459" s="10" t="s">
        <v>16</v>
      </c>
      <c r="H459" s="10" t="s">
        <v>18</v>
      </c>
      <c r="I459" s="11" t="s">
        <v>809</v>
      </c>
      <c r="J459" s="10" t="n">
        <f aca="false">IF(COUNTIFS($E$2:E459,E459,$A$2:A459,A459)=1,1,0)</f>
        <v>0</v>
      </c>
    </row>
    <row r="460" customFormat="false" ht="15" hidden="false" customHeight="false" outlineLevel="0" collapsed="false">
      <c r="A460" s="9" t="n">
        <v>46193</v>
      </c>
      <c r="B460" s="10" t="s">
        <v>807</v>
      </c>
      <c r="C460" s="10" t="s">
        <v>860</v>
      </c>
      <c r="D460" s="9" t="n">
        <v>46206</v>
      </c>
      <c r="E460" s="10" t="s">
        <v>14</v>
      </c>
      <c r="F460" s="10" t="s">
        <v>15</v>
      </c>
      <c r="G460" s="10" t="s">
        <v>16</v>
      </c>
      <c r="H460" s="10" t="s">
        <v>18</v>
      </c>
      <c r="I460" s="11" t="s">
        <v>809</v>
      </c>
      <c r="J460" s="10" t="n">
        <f aca="false">IF(COUNTIFS($E$2:E460,E460,$A$2:A460,A460)=1,1,0)</f>
        <v>0</v>
      </c>
    </row>
    <row r="461" customFormat="false" ht="15" hidden="false" customHeight="false" outlineLevel="0" collapsed="false">
      <c r="A461" s="9" t="n">
        <v>46193</v>
      </c>
      <c r="B461" s="10" t="s">
        <v>807</v>
      </c>
      <c r="C461" s="10" t="s">
        <v>861</v>
      </c>
      <c r="D461" s="9" t="n">
        <v>46206</v>
      </c>
      <c r="E461" s="10" t="s">
        <v>14</v>
      </c>
      <c r="F461" s="10" t="s">
        <v>15</v>
      </c>
      <c r="G461" s="10" t="s">
        <v>16</v>
      </c>
      <c r="H461" s="10" t="s">
        <v>18</v>
      </c>
      <c r="I461" s="11" t="s">
        <v>809</v>
      </c>
      <c r="J461" s="10" t="n">
        <f aca="false">IF(COUNTIFS($E$2:E461,E461,$A$2:A461,A461)=1,1,0)</f>
        <v>0</v>
      </c>
    </row>
    <row r="462" customFormat="false" ht="15" hidden="false" customHeight="false" outlineLevel="0" collapsed="false">
      <c r="A462" s="9" t="n">
        <v>46193</v>
      </c>
      <c r="B462" s="10" t="s">
        <v>807</v>
      </c>
      <c r="C462" s="10" t="s">
        <v>862</v>
      </c>
      <c r="D462" s="9" t="n">
        <v>46206</v>
      </c>
      <c r="E462" s="10" t="s">
        <v>14</v>
      </c>
      <c r="F462" s="10" t="s">
        <v>15</v>
      </c>
      <c r="G462" s="10" t="s">
        <v>16</v>
      </c>
      <c r="H462" s="10" t="s">
        <v>18</v>
      </c>
      <c r="I462" s="11" t="s">
        <v>809</v>
      </c>
      <c r="J462" s="10" t="n">
        <f aca="false">IF(COUNTIFS($E$2:E462,E462,$A$2:A462,A462)=1,1,0)</f>
        <v>0</v>
      </c>
    </row>
    <row r="463" customFormat="false" ht="15" hidden="false" customHeight="false" outlineLevel="0" collapsed="false">
      <c r="A463" s="9" t="n">
        <v>46193</v>
      </c>
      <c r="B463" s="10" t="s">
        <v>807</v>
      </c>
      <c r="C463" s="10" t="s">
        <v>863</v>
      </c>
      <c r="D463" s="9" t="n">
        <v>46206</v>
      </c>
      <c r="E463" s="10" t="s">
        <v>14</v>
      </c>
      <c r="F463" s="10" t="s">
        <v>15</v>
      </c>
      <c r="G463" s="10" t="s">
        <v>16</v>
      </c>
      <c r="H463" s="10" t="s">
        <v>18</v>
      </c>
      <c r="I463" s="11" t="s">
        <v>809</v>
      </c>
      <c r="J463" s="10" t="n">
        <f aca="false">IF(COUNTIFS($E$2:E463,E463,$A$2:A463,A463)=1,1,0)</f>
        <v>0</v>
      </c>
    </row>
    <row r="464" customFormat="false" ht="15" hidden="false" customHeight="false" outlineLevel="0" collapsed="false">
      <c r="A464" s="9" t="n">
        <v>46193</v>
      </c>
      <c r="B464" s="10" t="s">
        <v>807</v>
      </c>
      <c r="C464" s="10" t="s">
        <v>864</v>
      </c>
      <c r="D464" s="9" t="n">
        <v>46206</v>
      </c>
      <c r="E464" s="10" t="s">
        <v>14</v>
      </c>
      <c r="F464" s="10" t="s">
        <v>15</v>
      </c>
      <c r="G464" s="10" t="s">
        <v>16</v>
      </c>
      <c r="H464" s="10" t="s">
        <v>18</v>
      </c>
      <c r="I464" s="11" t="s">
        <v>809</v>
      </c>
      <c r="J464" s="10" t="n">
        <f aca="false">IF(COUNTIFS($E$2:E464,E464,$A$2:A464,A464)=1,1,0)</f>
        <v>0</v>
      </c>
    </row>
    <row r="465" customFormat="false" ht="15" hidden="false" customHeight="false" outlineLevel="0" collapsed="false">
      <c r="A465" s="9" t="n">
        <v>46193</v>
      </c>
      <c r="B465" s="10" t="s">
        <v>807</v>
      </c>
      <c r="C465" s="10" t="s">
        <v>865</v>
      </c>
      <c r="D465" s="9" t="n">
        <v>46206</v>
      </c>
      <c r="E465" s="10" t="s">
        <v>14</v>
      </c>
      <c r="F465" s="10" t="s">
        <v>15</v>
      </c>
      <c r="G465" s="10" t="s">
        <v>16</v>
      </c>
      <c r="H465" s="10" t="s">
        <v>18</v>
      </c>
      <c r="I465" s="11" t="s">
        <v>809</v>
      </c>
      <c r="J465" s="10" t="n">
        <f aca="false">IF(COUNTIFS($E$2:E465,E465,$A$2:A465,A465)=1,1,0)</f>
        <v>0</v>
      </c>
    </row>
    <row r="466" customFormat="false" ht="15" hidden="false" customHeight="false" outlineLevel="0" collapsed="false">
      <c r="A466" s="9" t="n">
        <v>46193</v>
      </c>
      <c r="B466" s="10" t="s">
        <v>807</v>
      </c>
      <c r="C466" s="10" t="s">
        <v>866</v>
      </c>
      <c r="D466" s="9" t="n">
        <v>46206</v>
      </c>
      <c r="E466" s="10" t="s">
        <v>14</v>
      </c>
      <c r="F466" s="10" t="s">
        <v>15</v>
      </c>
      <c r="G466" s="10" t="s">
        <v>16</v>
      </c>
      <c r="H466" s="10" t="s">
        <v>18</v>
      </c>
      <c r="I466" s="11" t="s">
        <v>809</v>
      </c>
      <c r="J466" s="10" t="n">
        <f aca="false">IF(COUNTIFS($E$2:E466,E466,$A$2:A466,A466)=1,1,0)</f>
        <v>0</v>
      </c>
    </row>
    <row r="467" customFormat="false" ht="15" hidden="false" customHeight="false" outlineLevel="0" collapsed="false">
      <c r="A467" s="9" t="n">
        <v>46193</v>
      </c>
      <c r="B467" s="10" t="s">
        <v>807</v>
      </c>
      <c r="C467" s="10" t="s">
        <v>867</v>
      </c>
      <c r="D467" s="9" t="n">
        <v>46206</v>
      </c>
      <c r="E467" s="10" t="s">
        <v>14</v>
      </c>
      <c r="F467" s="10" t="s">
        <v>15</v>
      </c>
      <c r="G467" s="10" t="s">
        <v>16</v>
      </c>
      <c r="H467" s="10" t="s">
        <v>18</v>
      </c>
      <c r="I467" s="11" t="s">
        <v>809</v>
      </c>
      <c r="J467" s="10" t="n">
        <f aca="false">IF(COUNTIFS($E$2:E467,E467,$A$2:A467,A467)=1,1,0)</f>
        <v>0</v>
      </c>
    </row>
    <row r="468" customFormat="false" ht="15" hidden="false" customHeight="false" outlineLevel="0" collapsed="false">
      <c r="A468" s="9" t="n">
        <v>46193</v>
      </c>
      <c r="B468" s="10" t="s">
        <v>807</v>
      </c>
      <c r="C468" s="10" t="s">
        <v>868</v>
      </c>
      <c r="D468" s="9" t="n">
        <v>46206</v>
      </c>
      <c r="E468" s="10" t="s">
        <v>14</v>
      </c>
      <c r="F468" s="10" t="s">
        <v>15</v>
      </c>
      <c r="G468" s="10" t="s">
        <v>16</v>
      </c>
      <c r="H468" s="10" t="s">
        <v>18</v>
      </c>
      <c r="I468" s="11" t="s">
        <v>809</v>
      </c>
      <c r="J468" s="10" t="n">
        <f aca="false">IF(COUNTIFS($E$2:E468,E468,$A$2:A468,A468)=1,1,0)</f>
        <v>0</v>
      </c>
    </row>
    <row r="469" customFormat="false" ht="15" hidden="false" customHeight="false" outlineLevel="0" collapsed="false">
      <c r="A469" s="9" t="n">
        <v>46193</v>
      </c>
      <c r="B469" s="10" t="s">
        <v>807</v>
      </c>
      <c r="C469" s="10" t="s">
        <v>869</v>
      </c>
      <c r="D469" s="9" t="n">
        <v>46206</v>
      </c>
      <c r="E469" s="10" t="s">
        <v>14</v>
      </c>
      <c r="F469" s="10" t="s">
        <v>15</v>
      </c>
      <c r="G469" s="10" t="s">
        <v>16</v>
      </c>
      <c r="H469" s="10" t="s">
        <v>848</v>
      </c>
      <c r="I469" s="11" t="s">
        <v>809</v>
      </c>
      <c r="J469" s="10" t="n">
        <f aca="false">IF(COUNTIFS($E$2:E469,E469,$A$2:A469,A469)=1,1,0)</f>
        <v>0</v>
      </c>
    </row>
    <row r="470" customFormat="false" ht="15" hidden="false" customHeight="false" outlineLevel="0" collapsed="false">
      <c r="A470" s="9" t="n">
        <v>46193</v>
      </c>
      <c r="B470" s="10" t="s">
        <v>807</v>
      </c>
      <c r="C470" s="10" t="s">
        <v>870</v>
      </c>
      <c r="D470" s="9" t="n">
        <v>46206</v>
      </c>
      <c r="E470" s="10" t="s">
        <v>14</v>
      </c>
      <c r="F470" s="10" t="s">
        <v>15</v>
      </c>
      <c r="G470" s="10" t="s">
        <v>16</v>
      </c>
      <c r="H470" s="10" t="s">
        <v>18</v>
      </c>
      <c r="I470" s="11" t="s">
        <v>809</v>
      </c>
      <c r="J470" s="10" t="n">
        <f aca="false">IF(COUNTIFS($E$2:E470,E470,$A$2:A470,A470)=1,1,0)</f>
        <v>0</v>
      </c>
    </row>
    <row r="471" customFormat="false" ht="15" hidden="false" customHeight="false" outlineLevel="0" collapsed="false">
      <c r="A471" s="9" t="n">
        <v>46193</v>
      </c>
      <c r="B471" s="10" t="s">
        <v>807</v>
      </c>
      <c r="C471" s="10" t="s">
        <v>871</v>
      </c>
      <c r="D471" s="9" t="n">
        <v>46206</v>
      </c>
      <c r="E471" s="10" t="s">
        <v>14</v>
      </c>
      <c r="F471" s="10" t="s">
        <v>15</v>
      </c>
      <c r="G471" s="10" t="s">
        <v>16</v>
      </c>
      <c r="H471" s="10" t="s">
        <v>18</v>
      </c>
      <c r="I471" s="11" t="s">
        <v>809</v>
      </c>
      <c r="J471" s="10" t="n">
        <f aca="false">IF(COUNTIFS($E$2:E471,E471,$A$2:A471,A471)=1,1,0)</f>
        <v>0</v>
      </c>
    </row>
    <row r="472" customFormat="false" ht="15" hidden="false" customHeight="false" outlineLevel="0" collapsed="false">
      <c r="A472" s="9" t="n">
        <v>46193</v>
      </c>
      <c r="B472" s="10" t="s">
        <v>807</v>
      </c>
      <c r="C472" s="10" t="s">
        <v>665</v>
      </c>
      <c r="D472" s="9" t="n">
        <v>46206</v>
      </c>
      <c r="E472" s="10" t="s">
        <v>58</v>
      </c>
      <c r="F472" s="10" t="s">
        <v>21</v>
      </c>
      <c r="G472" s="10" t="s">
        <v>39</v>
      </c>
      <c r="H472" s="10" t="s">
        <v>60</v>
      </c>
      <c r="I472" s="11" t="s">
        <v>809</v>
      </c>
      <c r="J472" s="10" t="n">
        <f aca="false">IF(COUNTIFS($E$2:E472,E472,$A$2:A472,A472)=1,1,0)</f>
        <v>1</v>
      </c>
    </row>
    <row r="473" customFormat="false" ht="15" hidden="false" customHeight="false" outlineLevel="0" collapsed="false">
      <c r="A473" s="9" t="n">
        <v>46193</v>
      </c>
      <c r="B473" s="10" t="s">
        <v>807</v>
      </c>
      <c r="C473" s="10" t="s">
        <v>403</v>
      </c>
      <c r="D473" s="9" t="n">
        <v>46207</v>
      </c>
      <c r="E473" s="10" t="s">
        <v>402</v>
      </c>
      <c r="F473" s="10" t="s">
        <v>15</v>
      </c>
      <c r="G473" s="10" t="s">
        <v>121</v>
      </c>
      <c r="H473" s="10" t="s">
        <v>18</v>
      </c>
      <c r="I473" s="11" t="s">
        <v>809</v>
      </c>
      <c r="J473" s="10" t="n">
        <f aca="false">IF(COUNTIFS($E$2:E473,E473,$A$2:A473,A473)=1,1,0)</f>
        <v>1</v>
      </c>
    </row>
    <row r="474" customFormat="false" ht="15" hidden="false" customHeight="false" outlineLevel="0" collapsed="false">
      <c r="A474" s="9" t="n">
        <v>46193</v>
      </c>
      <c r="B474" s="10" t="s">
        <v>807</v>
      </c>
      <c r="C474" s="10" t="s">
        <v>151</v>
      </c>
      <c r="D474" s="9" t="n">
        <v>46207</v>
      </c>
      <c r="E474" s="10" t="s">
        <v>150</v>
      </c>
      <c r="F474" s="10" t="s">
        <v>15</v>
      </c>
      <c r="G474" s="10" t="s">
        <v>16</v>
      </c>
      <c r="H474" s="10" t="s">
        <v>18</v>
      </c>
      <c r="I474" s="11" t="s">
        <v>809</v>
      </c>
      <c r="J474" s="10" t="n">
        <f aca="false">IF(COUNTIFS($E$2:E474,E474,$A$2:A474,A474)=1,1,0)</f>
        <v>0</v>
      </c>
    </row>
    <row r="475" customFormat="false" ht="15" hidden="false" customHeight="false" outlineLevel="0" collapsed="false">
      <c r="A475" s="9" t="n">
        <v>46193</v>
      </c>
      <c r="B475" s="10" t="s">
        <v>807</v>
      </c>
      <c r="C475" s="10" t="s">
        <v>484</v>
      </c>
      <c r="D475" s="9" t="n">
        <v>46207</v>
      </c>
      <c r="E475" s="10" t="s">
        <v>483</v>
      </c>
      <c r="F475" s="10" t="s">
        <v>177</v>
      </c>
      <c r="G475" s="10" t="s">
        <v>16</v>
      </c>
      <c r="H475" s="10" t="s">
        <v>18</v>
      </c>
      <c r="I475" s="11" t="s">
        <v>809</v>
      </c>
      <c r="J475" s="10" t="n">
        <f aca="false">IF(COUNTIFS($E$2:E475,E475,$A$2:A475,A475)=1,1,0)</f>
        <v>1</v>
      </c>
    </row>
    <row r="476" customFormat="false" ht="15" hidden="false" customHeight="false" outlineLevel="0" collapsed="false">
      <c r="A476" s="9" t="n">
        <v>46193</v>
      </c>
      <c r="B476" s="10" t="s">
        <v>807</v>
      </c>
      <c r="C476" s="10" t="s">
        <v>872</v>
      </c>
      <c r="D476" s="9" t="n">
        <v>46207</v>
      </c>
      <c r="E476" s="10" t="s">
        <v>14</v>
      </c>
      <c r="F476" s="10" t="s">
        <v>15</v>
      </c>
      <c r="G476" s="10" t="s">
        <v>16</v>
      </c>
      <c r="H476" s="10" t="s">
        <v>18</v>
      </c>
      <c r="I476" s="11" t="s">
        <v>809</v>
      </c>
      <c r="J476" s="10" t="n">
        <f aca="false">IF(COUNTIFS($E$2:E476,E476,$A$2:A476,A476)=1,1,0)</f>
        <v>0</v>
      </c>
    </row>
    <row r="477" customFormat="false" ht="15" hidden="false" customHeight="false" outlineLevel="0" collapsed="false">
      <c r="A477" s="9" t="n">
        <v>46193</v>
      </c>
      <c r="B477" s="10" t="s">
        <v>807</v>
      </c>
      <c r="C477" s="10" t="s">
        <v>873</v>
      </c>
      <c r="D477" s="9" t="n">
        <v>46207</v>
      </c>
      <c r="E477" s="10" t="s">
        <v>14</v>
      </c>
      <c r="F477" s="10" t="s">
        <v>15</v>
      </c>
      <c r="G477" s="10" t="s">
        <v>16</v>
      </c>
      <c r="H477" s="10" t="s">
        <v>18</v>
      </c>
      <c r="I477" s="11" t="s">
        <v>809</v>
      </c>
      <c r="J477" s="10" t="n">
        <f aca="false">IF(COUNTIFS($E$2:E477,E477,$A$2:A477,A477)=1,1,0)</f>
        <v>0</v>
      </c>
    </row>
    <row r="478" customFormat="false" ht="15" hidden="false" customHeight="false" outlineLevel="0" collapsed="false">
      <c r="A478" s="9" t="n">
        <v>46193</v>
      </c>
      <c r="B478" s="10" t="s">
        <v>807</v>
      </c>
      <c r="C478" s="10" t="s">
        <v>874</v>
      </c>
      <c r="D478" s="9" t="n">
        <v>46207</v>
      </c>
      <c r="E478" s="10" t="s">
        <v>14</v>
      </c>
      <c r="F478" s="10" t="s">
        <v>15</v>
      </c>
      <c r="G478" s="10" t="s">
        <v>16</v>
      </c>
      <c r="H478" s="10" t="s">
        <v>18</v>
      </c>
      <c r="I478" s="11" t="s">
        <v>809</v>
      </c>
      <c r="J478" s="10" t="n">
        <f aca="false">IF(COUNTIFS($E$2:E478,E478,$A$2:A478,A478)=1,1,0)</f>
        <v>0</v>
      </c>
    </row>
    <row r="479" customFormat="false" ht="15" hidden="false" customHeight="false" outlineLevel="0" collapsed="false">
      <c r="A479" s="9" t="n">
        <v>46193</v>
      </c>
      <c r="B479" s="10" t="s">
        <v>807</v>
      </c>
      <c r="C479" s="10" t="s">
        <v>875</v>
      </c>
      <c r="D479" s="9" t="n">
        <v>46207</v>
      </c>
      <c r="E479" s="10" t="s">
        <v>14</v>
      </c>
      <c r="F479" s="10" t="s">
        <v>15</v>
      </c>
      <c r="G479" s="10" t="s">
        <v>16</v>
      </c>
      <c r="H479" s="10" t="s">
        <v>18</v>
      </c>
      <c r="I479" s="11" t="s">
        <v>809</v>
      </c>
      <c r="J479" s="10" t="n">
        <f aca="false">IF(COUNTIFS($E$2:E479,E479,$A$2:A479,A479)=1,1,0)</f>
        <v>0</v>
      </c>
    </row>
    <row r="480" customFormat="false" ht="15" hidden="false" customHeight="false" outlineLevel="0" collapsed="false">
      <c r="A480" s="9" t="n">
        <v>46193</v>
      </c>
      <c r="B480" s="10" t="s">
        <v>807</v>
      </c>
      <c r="C480" s="10" t="s">
        <v>876</v>
      </c>
      <c r="D480" s="9" t="n">
        <v>46207</v>
      </c>
      <c r="E480" s="10" t="s">
        <v>14</v>
      </c>
      <c r="F480" s="10" t="s">
        <v>15</v>
      </c>
      <c r="G480" s="10" t="s">
        <v>16</v>
      </c>
      <c r="H480" s="10" t="s">
        <v>18</v>
      </c>
      <c r="I480" s="11" t="s">
        <v>809</v>
      </c>
      <c r="J480" s="10" t="n">
        <f aca="false">IF(COUNTIFS($E$2:E480,E480,$A$2:A480,A480)=1,1,0)</f>
        <v>0</v>
      </c>
    </row>
    <row r="481" customFormat="false" ht="15" hidden="false" customHeight="false" outlineLevel="0" collapsed="false">
      <c r="A481" s="9" t="n">
        <v>46193</v>
      </c>
      <c r="B481" s="10" t="s">
        <v>807</v>
      </c>
      <c r="C481" s="10" t="s">
        <v>363</v>
      </c>
      <c r="D481" s="9" t="n">
        <v>46208</v>
      </c>
      <c r="E481" s="10" t="s">
        <v>361</v>
      </c>
      <c r="F481" s="10" t="s">
        <v>154</v>
      </c>
      <c r="G481" s="10" t="s">
        <v>362</v>
      </c>
      <c r="H481" s="10" t="s">
        <v>364</v>
      </c>
      <c r="I481" s="11" t="s">
        <v>809</v>
      </c>
      <c r="J481" s="10" t="n">
        <f aca="false">IF(COUNTIFS($E$2:E481,E481,$A$2:A481,A481)=1,1,0)</f>
        <v>0</v>
      </c>
    </row>
    <row r="482" customFormat="false" ht="15" hidden="false" customHeight="false" outlineLevel="0" collapsed="false">
      <c r="A482" s="9" t="n">
        <v>46193</v>
      </c>
      <c r="B482" s="10" t="s">
        <v>807</v>
      </c>
      <c r="C482" s="10" t="s">
        <v>422</v>
      </c>
      <c r="D482" s="9" t="n">
        <v>46208</v>
      </c>
      <c r="E482" s="10" t="s">
        <v>421</v>
      </c>
      <c r="F482" s="10" t="s">
        <v>15</v>
      </c>
      <c r="G482" s="10" t="s">
        <v>155</v>
      </c>
      <c r="H482" s="10" t="s">
        <v>18</v>
      </c>
      <c r="I482" s="11" t="s">
        <v>809</v>
      </c>
      <c r="J482" s="10" t="n">
        <f aca="false">IF(COUNTIFS($E$2:E482,E482,$A$2:A482,A482)=1,1,0)</f>
        <v>1</v>
      </c>
    </row>
    <row r="483" customFormat="false" ht="15" hidden="false" customHeight="false" outlineLevel="0" collapsed="false">
      <c r="A483" s="9" t="n">
        <v>46193</v>
      </c>
      <c r="B483" s="10" t="s">
        <v>807</v>
      </c>
      <c r="C483" s="10" t="s">
        <v>443</v>
      </c>
      <c r="D483" s="9" t="n">
        <v>46208</v>
      </c>
      <c r="E483" s="10" t="s">
        <v>442</v>
      </c>
      <c r="F483" s="10" t="s">
        <v>15</v>
      </c>
      <c r="G483" s="10" t="s">
        <v>16</v>
      </c>
      <c r="H483" s="10" t="s">
        <v>18</v>
      </c>
      <c r="I483" s="11" t="s">
        <v>809</v>
      </c>
      <c r="J483" s="10" t="n">
        <f aca="false">IF(COUNTIFS($E$2:E483,E483,$A$2:A483,A483)=1,1,0)</f>
        <v>1</v>
      </c>
    </row>
    <row r="484" customFormat="false" ht="15" hidden="false" customHeight="false" outlineLevel="0" collapsed="false">
      <c r="A484" s="9" t="n">
        <v>46193</v>
      </c>
      <c r="B484" s="10" t="s">
        <v>807</v>
      </c>
      <c r="C484" s="10" t="s">
        <v>502</v>
      </c>
      <c r="D484" s="9" t="n">
        <v>46208</v>
      </c>
      <c r="E484" s="10" t="s">
        <v>501</v>
      </c>
      <c r="F484" s="10" t="s">
        <v>15</v>
      </c>
      <c r="G484" s="10" t="s">
        <v>155</v>
      </c>
      <c r="H484" s="10" t="s">
        <v>18</v>
      </c>
      <c r="I484" s="11" t="s">
        <v>809</v>
      </c>
      <c r="J484" s="10" t="n">
        <f aca="false">IF(COUNTIFS($E$2:E484,E484,$A$2:A484,A484)=1,1,0)</f>
        <v>1</v>
      </c>
    </row>
    <row r="485" customFormat="false" ht="15" hidden="false" customHeight="false" outlineLevel="0" collapsed="false">
      <c r="A485" s="9" t="n">
        <v>46193</v>
      </c>
      <c r="B485" s="10" t="s">
        <v>807</v>
      </c>
      <c r="C485" s="10" t="s">
        <v>512</v>
      </c>
      <c r="D485" s="9" t="n">
        <v>46208</v>
      </c>
      <c r="E485" s="10" t="s">
        <v>510</v>
      </c>
      <c r="F485" s="10" t="s">
        <v>21</v>
      </c>
      <c r="G485" s="10" t="s">
        <v>511</v>
      </c>
      <c r="H485" s="10" t="s">
        <v>18</v>
      </c>
      <c r="I485" s="11" t="s">
        <v>809</v>
      </c>
      <c r="J485" s="10" t="n">
        <f aca="false">IF(COUNTIFS($E$2:E485,E485,$A$2:A485,A485)=1,1,0)</f>
        <v>1</v>
      </c>
    </row>
    <row r="486" customFormat="false" ht="15" hidden="false" customHeight="false" outlineLevel="0" collapsed="false">
      <c r="A486" s="9" t="n">
        <v>46193</v>
      </c>
      <c r="B486" s="10" t="s">
        <v>807</v>
      </c>
      <c r="C486" s="10" t="s">
        <v>877</v>
      </c>
      <c r="D486" s="9" t="n">
        <v>46208</v>
      </c>
      <c r="E486" s="10" t="s">
        <v>14</v>
      </c>
      <c r="F486" s="10" t="s">
        <v>15</v>
      </c>
      <c r="G486" s="10" t="s">
        <v>16</v>
      </c>
      <c r="H486" s="10" t="s">
        <v>18</v>
      </c>
      <c r="I486" s="11" t="s">
        <v>809</v>
      </c>
      <c r="J486" s="10" t="n">
        <f aca="false">IF(COUNTIFS($E$2:E486,E486,$A$2:A486,A486)=1,1,0)</f>
        <v>0</v>
      </c>
    </row>
    <row r="487" customFormat="false" ht="15" hidden="false" customHeight="false" outlineLevel="0" collapsed="false">
      <c r="A487" s="9" t="n">
        <v>46193</v>
      </c>
      <c r="B487" s="10" t="s">
        <v>807</v>
      </c>
      <c r="C487" s="10" t="s">
        <v>878</v>
      </c>
      <c r="D487" s="9" t="n">
        <v>46208</v>
      </c>
      <c r="E487" s="10" t="s">
        <v>14</v>
      </c>
      <c r="F487" s="10" t="s">
        <v>15</v>
      </c>
      <c r="G487" s="10" t="s">
        <v>16</v>
      </c>
      <c r="H487" s="10" t="s">
        <v>18</v>
      </c>
      <c r="I487" s="11" t="s">
        <v>809</v>
      </c>
      <c r="J487" s="10" t="n">
        <f aca="false">IF(COUNTIFS($E$2:E487,E487,$A$2:A487,A487)=1,1,0)</f>
        <v>0</v>
      </c>
    </row>
    <row r="488" customFormat="false" ht="15" hidden="false" customHeight="false" outlineLevel="0" collapsed="false">
      <c r="A488" s="9" t="n">
        <v>46193</v>
      </c>
      <c r="B488" s="10" t="s">
        <v>807</v>
      </c>
      <c r="C488" s="10" t="s">
        <v>879</v>
      </c>
      <c r="D488" s="9" t="n">
        <v>46208</v>
      </c>
      <c r="E488" s="10" t="s">
        <v>14</v>
      </c>
      <c r="F488" s="10" t="s">
        <v>15</v>
      </c>
      <c r="G488" s="10" t="s">
        <v>16</v>
      </c>
      <c r="H488" s="10" t="s">
        <v>880</v>
      </c>
      <c r="I488" s="11" t="s">
        <v>809</v>
      </c>
      <c r="J488" s="10" t="n">
        <f aca="false">IF(COUNTIFS($E$2:E488,E488,$A$2:A488,A488)=1,1,0)</f>
        <v>0</v>
      </c>
    </row>
    <row r="489" customFormat="false" ht="15" hidden="false" customHeight="false" outlineLevel="0" collapsed="false">
      <c r="A489" s="9" t="n">
        <v>46193</v>
      </c>
      <c r="B489" s="10" t="s">
        <v>807</v>
      </c>
      <c r="C489" s="10" t="s">
        <v>881</v>
      </c>
      <c r="D489" s="9" t="n">
        <v>46208</v>
      </c>
      <c r="E489" s="10" t="s">
        <v>14</v>
      </c>
      <c r="F489" s="10" t="s">
        <v>15</v>
      </c>
      <c r="G489" s="10" t="s">
        <v>16</v>
      </c>
      <c r="H489" s="10" t="s">
        <v>18</v>
      </c>
      <c r="I489" s="11" t="s">
        <v>809</v>
      </c>
      <c r="J489" s="10" t="n">
        <f aca="false">IF(COUNTIFS($E$2:E489,E489,$A$2:A489,A489)=1,1,0)</f>
        <v>0</v>
      </c>
    </row>
    <row r="490" customFormat="false" ht="15" hidden="false" customHeight="false" outlineLevel="0" collapsed="false">
      <c r="A490" s="9" t="n">
        <v>46193</v>
      </c>
      <c r="B490" s="10" t="s">
        <v>807</v>
      </c>
      <c r="C490" s="10" t="s">
        <v>882</v>
      </c>
      <c r="D490" s="9" t="n">
        <v>46208</v>
      </c>
      <c r="E490" s="10" t="s">
        <v>53</v>
      </c>
      <c r="F490" s="10" t="s">
        <v>15</v>
      </c>
      <c r="G490" s="10" t="s">
        <v>54</v>
      </c>
      <c r="H490" s="10" t="s">
        <v>18</v>
      </c>
      <c r="I490" s="11" t="s">
        <v>809</v>
      </c>
      <c r="J490" s="10" t="n">
        <f aca="false">IF(COUNTIFS($E$2:E490,E490,$A$2:A490,A490)=1,1,0)</f>
        <v>0</v>
      </c>
    </row>
    <row r="491" customFormat="false" ht="15" hidden="false" customHeight="false" outlineLevel="0" collapsed="false">
      <c r="A491" s="9" t="n">
        <v>46206</v>
      </c>
      <c r="B491" s="10" t="s">
        <v>883</v>
      </c>
      <c r="C491" s="10" t="s">
        <v>884</v>
      </c>
      <c r="D491" s="9" t="n">
        <v>46208</v>
      </c>
      <c r="E491" s="10" t="s">
        <v>14</v>
      </c>
      <c r="F491" s="10" t="s">
        <v>15</v>
      </c>
      <c r="G491" s="10" t="s">
        <v>16</v>
      </c>
      <c r="H491" s="10" t="s">
        <v>18</v>
      </c>
      <c r="I491" s="11" t="s">
        <v>885</v>
      </c>
      <c r="J491" s="10" t="n">
        <f aca="false">IF(COUNTIFS($E$2:E491,E491,$A$2:A491,A491)=1,1,0)</f>
        <v>1</v>
      </c>
    </row>
    <row r="492" customFormat="false" ht="15" hidden="false" customHeight="false" outlineLevel="0" collapsed="false">
      <c r="A492" s="9" t="n">
        <v>46214</v>
      </c>
      <c r="B492" s="10" t="s">
        <v>886</v>
      </c>
      <c r="C492" s="10" t="s">
        <v>887</v>
      </c>
      <c r="D492" s="9" t="n">
        <v>46214</v>
      </c>
      <c r="E492" s="10" t="s">
        <v>14</v>
      </c>
      <c r="F492" s="10" t="s">
        <v>15</v>
      </c>
      <c r="G492" s="10" t="s">
        <v>16</v>
      </c>
      <c r="H492" s="10" t="s">
        <v>888</v>
      </c>
      <c r="I492" s="11" t="s">
        <v>889</v>
      </c>
      <c r="J492" s="10" t="n">
        <f aca="false">IF(COUNTIFS($E$2:E492,E492,$A$2:A492,A492)=1,1,0)</f>
        <v>1</v>
      </c>
    </row>
    <row r="493" customFormat="false" ht="15" hidden="false" customHeight="false" outlineLevel="0" collapsed="false">
      <c r="A493" s="9" t="n">
        <v>46214</v>
      </c>
      <c r="B493" s="10" t="s">
        <v>886</v>
      </c>
      <c r="C493" s="10" t="s">
        <v>305</v>
      </c>
      <c r="D493" s="9" t="n">
        <v>46215</v>
      </c>
      <c r="E493" s="10" t="s">
        <v>423</v>
      </c>
      <c r="F493" s="10" t="s">
        <v>15</v>
      </c>
      <c r="G493" s="10" t="s">
        <v>304</v>
      </c>
      <c r="H493" s="10" t="s">
        <v>305</v>
      </c>
      <c r="I493" s="11" t="s">
        <v>889</v>
      </c>
      <c r="J493" s="10" t="n">
        <f aca="false">IF(COUNTIFS($E$2:E493,E493,$A$2:A493,A493)=1,1,0)</f>
        <v>1</v>
      </c>
    </row>
    <row r="494" customFormat="false" ht="15" hidden="false" customHeight="false" outlineLevel="0" collapsed="false">
      <c r="A494" s="9" t="n">
        <v>46214</v>
      </c>
      <c r="B494" s="10" t="s">
        <v>886</v>
      </c>
      <c r="C494" s="10" t="s">
        <v>890</v>
      </c>
      <c r="D494" s="9" t="n">
        <v>46215</v>
      </c>
      <c r="E494" s="10" t="s">
        <v>14</v>
      </c>
      <c r="F494" s="10" t="s">
        <v>15</v>
      </c>
      <c r="G494" s="10" t="s">
        <v>16</v>
      </c>
      <c r="H494" s="10" t="s">
        <v>520</v>
      </c>
      <c r="I494" s="11" t="s">
        <v>889</v>
      </c>
      <c r="J494" s="10" t="n">
        <f aca="false">IF(COUNTIFS($E$2:E494,E494,$A$2:A494,A494)=1,1,0)</f>
        <v>0</v>
      </c>
    </row>
    <row r="495" customFormat="false" ht="15" hidden="false" customHeight="false" outlineLevel="0" collapsed="false">
      <c r="A495" s="9" t="n">
        <v>46214</v>
      </c>
      <c r="B495" s="10" t="s">
        <v>886</v>
      </c>
      <c r="C495" s="10" t="s">
        <v>891</v>
      </c>
      <c r="D495" s="9" t="n">
        <v>46215</v>
      </c>
      <c r="E495" s="10" t="s">
        <v>116</v>
      </c>
      <c r="F495" s="10" t="s">
        <v>21</v>
      </c>
      <c r="G495" s="10" t="s">
        <v>117</v>
      </c>
      <c r="H495" s="10" t="s">
        <v>116</v>
      </c>
      <c r="I495" s="11" t="s">
        <v>889</v>
      </c>
      <c r="J495" s="10" t="n">
        <f aca="false">IF(COUNTIFS($E$2:E495,E495,$A$2:A495,A495)=1,1,0)</f>
        <v>1</v>
      </c>
    </row>
    <row r="496" customFormat="false" ht="15" hidden="false" customHeight="false" outlineLevel="0" collapsed="false">
      <c r="A496" s="9" t="n">
        <v>46214</v>
      </c>
      <c r="B496" s="10" t="s">
        <v>886</v>
      </c>
      <c r="C496" s="10" t="s">
        <v>398</v>
      </c>
      <c r="D496" s="9" t="n">
        <v>46216</v>
      </c>
      <c r="E496" s="10" t="s">
        <v>397</v>
      </c>
      <c r="F496" s="10" t="s">
        <v>177</v>
      </c>
      <c r="G496" s="10" t="s">
        <v>63</v>
      </c>
      <c r="H496" s="10"/>
      <c r="I496" s="11" t="s">
        <v>889</v>
      </c>
      <c r="J496" s="10" t="n">
        <f aca="false">IF(COUNTIFS($E$2:E496,E496,$A$2:A496,A496)=1,1,0)</f>
        <v>1</v>
      </c>
    </row>
    <row r="497" customFormat="false" ht="15" hidden="false" customHeight="false" outlineLevel="0" collapsed="false">
      <c r="A497" s="9" t="n">
        <v>46214</v>
      </c>
      <c r="B497" s="10" t="s">
        <v>886</v>
      </c>
      <c r="C497" s="10" t="s">
        <v>892</v>
      </c>
      <c r="D497" s="9" t="n">
        <v>46217</v>
      </c>
      <c r="E497" s="10" t="s">
        <v>62</v>
      </c>
      <c r="F497" s="10" t="s">
        <v>15</v>
      </c>
      <c r="G497" s="10" t="s">
        <v>63</v>
      </c>
      <c r="H497" s="10"/>
      <c r="I497" s="11" t="s">
        <v>889</v>
      </c>
      <c r="J497" s="10" t="n">
        <f aca="false">IF(COUNTIFS($E$2:E497,E497,$A$2:A497,A497)=1,1,0)</f>
        <v>1</v>
      </c>
    </row>
    <row r="498" customFormat="false" ht="15" hidden="false" customHeight="false" outlineLevel="0" collapsed="false">
      <c r="A498" s="9" t="n">
        <v>46214</v>
      </c>
      <c r="B498" s="10" t="s">
        <v>886</v>
      </c>
      <c r="C498" s="10" t="s">
        <v>214</v>
      </c>
      <c r="D498" s="9" t="n">
        <v>46217</v>
      </c>
      <c r="E498" s="10" t="s">
        <v>212</v>
      </c>
      <c r="F498" s="10" t="s">
        <v>15</v>
      </c>
      <c r="G498" s="10" t="s">
        <v>213</v>
      </c>
      <c r="H498" s="10" t="s">
        <v>215</v>
      </c>
      <c r="I498" s="11" t="s">
        <v>889</v>
      </c>
      <c r="J498" s="10" t="n">
        <f aca="false">IF(COUNTIFS($E$2:E498,E498,$A$2:A498,A498)=1,1,0)</f>
        <v>1</v>
      </c>
    </row>
    <row r="499" customFormat="false" ht="15" hidden="false" customHeight="false" outlineLevel="0" collapsed="false">
      <c r="A499" s="9" t="n">
        <v>46214</v>
      </c>
      <c r="B499" s="10" t="s">
        <v>886</v>
      </c>
      <c r="C499" s="10" t="s">
        <v>701</v>
      </c>
      <c r="D499" s="9" t="n">
        <v>46218</v>
      </c>
      <c r="E499" s="10" t="s">
        <v>20</v>
      </c>
      <c r="F499" s="10" t="s">
        <v>21</v>
      </c>
      <c r="G499" s="10" t="s">
        <v>22</v>
      </c>
      <c r="H499" s="10" t="s">
        <v>24</v>
      </c>
      <c r="I499" s="11" t="s">
        <v>889</v>
      </c>
      <c r="J499" s="10" t="n">
        <f aca="false">IF(COUNTIFS($E$2:E499,E499,$A$2:A499,A499)=1,1,0)</f>
        <v>1</v>
      </c>
    </row>
    <row r="500" customFormat="false" ht="15" hidden="false" customHeight="false" outlineLevel="0" collapsed="false">
      <c r="A500" s="9" t="n">
        <v>46214</v>
      </c>
      <c r="B500" s="10" t="s">
        <v>886</v>
      </c>
      <c r="C500" s="10" t="s">
        <v>893</v>
      </c>
      <c r="D500" s="9" t="n">
        <v>46218</v>
      </c>
      <c r="E500" s="10" t="s">
        <v>14</v>
      </c>
      <c r="F500" s="10" t="s">
        <v>15</v>
      </c>
      <c r="G500" s="10" t="s">
        <v>16</v>
      </c>
      <c r="H500" s="10" t="s">
        <v>894</v>
      </c>
      <c r="I500" s="11" t="s">
        <v>889</v>
      </c>
      <c r="J500" s="10" t="n">
        <f aca="false">IF(COUNTIFS($E$2:E500,E500,$A$2:A500,A500)=1,1,0)</f>
        <v>0</v>
      </c>
    </row>
    <row r="501" customFormat="false" ht="15" hidden="false" customHeight="false" outlineLevel="0" collapsed="false">
      <c r="A501" s="9" t="n">
        <v>46214</v>
      </c>
      <c r="B501" s="10" t="s">
        <v>886</v>
      </c>
      <c r="C501" s="10" t="s">
        <v>895</v>
      </c>
      <c r="D501" s="9" t="n">
        <v>46218</v>
      </c>
      <c r="E501" s="10" t="s">
        <v>14</v>
      </c>
      <c r="F501" s="10" t="s">
        <v>15</v>
      </c>
      <c r="G501" s="10" t="s">
        <v>16</v>
      </c>
      <c r="H501" s="10" t="s">
        <v>41</v>
      </c>
      <c r="I501" s="11" t="s">
        <v>889</v>
      </c>
      <c r="J501" s="10" t="n">
        <f aca="false">IF(COUNTIFS($E$2:E501,E501,$A$2:A501,A501)=1,1,0)</f>
        <v>0</v>
      </c>
    </row>
    <row r="502" customFormat="false" ht="15" hidden="false" customHeight="false" outlineLevel="0" collapsed="false">
      <c r="A502" s="9" t="n">
        <v>46214</v>
      </c>
      <c r="B502" s="10" t="s">
        <v>886</v>
      </c>
      <c r="C502" s="10" t="s">
        <v>896</v>
      </c>
      <c r="D502" s="9" t="n">
        <v>46218</v>
      </c>
      <c r="E502" s="10" t="s">
        <v>32</v>
      </c>
      <c r="F502" s="10" t="s">
        <v>33</v>
      </c>
      <c r="G502" s="10" t="s">
        <v>34</v>
      </c>
      <c r="H502" s="10" t="s">
        <v>897</v>
      </c>
      <c r="I502" s="11" t="s">
        <v>889</v>
      </c>
      <c r="J502" s="10" t="n">
        <f aca="false">IF(COUNTIFS($E$2:E502,E502,$A$2:A502,A502)=1,1,0)</f>
        <v>1</v>
      </c>
    </row>
    <row r="503" customFormat="false" ht="15" hidden="false" customHeight="false" outlineLevel="0" collapsed="false">
      <c r="A503" s="9" t="n">
        <v>46214</v>
      </c>
      <c r="B503" s="10" t="s">
        <v>886</v>
      </c>
      <c r="C503" s="10" t="s">
        <v>898</v>
      </c>
      <c r="D503" s="9" t="n">
        <v>46219</v>
      </c>
      <c r="E503" s="10" t="s">
        <v>26</v>
      </c>
      <c r="F503" s="10" t="s">
        <v>27</v>
      </c>
      <c r="G503" s="10" t="s">
        <v>28</v>
      </c>
      <c r="H503" s="10" t="s">
        <v>30</v>
      </c>
      <c r="I503" s="11" t="s">
        <v>889</v>
      </c>
      <c r="J503" s="10" t="n">
        <f aca="false">IF(COUNTIFS($E$2:E503,E503,$A$2:A503,A503)=1,1,0)</f>
        <v>1</v>
      </c>
    </row>
    <row r="504" customFormat="false" ht="15" hidden="false" customHeight="false" outlineLevel="0" collapsed="false">
      <c r="A504" s="9" t="n">
        <v>46214</v>
      </c>
      <c r="B504" s="10" t="s">
        <v>886</v>
      </c>
      <c r="C504" s="10" t="s">
        <v>899</v>
      </c>
      <c r="D504" s="9" t="n">
        <v>46219</v>
      </c>
      <c r="E504" s="10" t="s">
        <v>14</v>
      </c>
      <c r="F504" s="10" t="s">
        <v>15</v>
      </c>
      <c r="G504" s="10" t="s">
        <v>16</v>
      </c>
      <c r="H504" s="10"/>
      <c r="I504" s="11" t="s">
        <v>889</v>
      </c>
      <c r="J504" s="10" t="n">
        <f aca="false">IF(COUNTIFS($E$2:E504,E504,$A$2:A504,A504)=1,1,0)</f>
        <v>0</v>
      </c>
    </row>
    <row r="505" customFormat="false" ht="15" hidden="false" customHeight="false" outlineLevel="0" collapsed="false">
      <c r="A505" s="9" t="n">
        <v>46214</v>
      </c>
      <c r="B505" s="10" t="s">
        <v>886</v>
      </c>
      <c r="C505" s="10" t="s">
        <v>900</v>
      </c>
      <c r="D505" s="9" t="n">
        <v>46219</v>
      </c>
      <c r="E505" s="10" t="s">
        <v>14</v>
      </c>
      <c r="F505" s="10" t="s">
        <v>15</v>
      </c>
      <c r="G505" s="10" t="s">
        <v>16</v>
      </c>
      <c r="H505" s="10"/>
      <c r="I505" s="11" t="s">
        <v>889</v>
      </c>
      <c r="J505" s="10" t="n">
        <f aca="false">IF(COUNTIFS($E$2:E505,E505,$A$2:A505,A505)=1,1,0)</f>
        <v>0</v>
      </c>
    </row>
    <row r="506" customFormat="false" ht="15" hidden="false" customHeight="false" outlineLevel="0" collapsed="false">
      <c r="A506" s="9" t="n">
        <v>46214</v>
      </c>
      <c r="B506" s="10" t="s">
        <v>886</v>
      </c>
      <c r="C506" s="10" t="s">
        <v>901</v>
      </c>
      <c r="D506" s="9" t="n">
        <v>46220</v>
      </c>
      <c r="E506" s="10" t="s">
        <v>38</v>
      </c>
      <c r="F506" s="10" t="s">
        <v>15</v>
      </c>
      <c r="G506" s="10" t="s">
        <v>39</v>
      </c>
      <c r="H506" s="10" t="s">
        <v>41</v>
      </c>
      <c r="I506" s="11" t="s">
        <v>889</v>
      </c>
      <c r="J506" s="10" t="n">
        <f aca="false">IF(COUNTIFS($E$2:E506,E506,$A$2:A506,A506)=1,1,0)</f>
        <v>1</v>
      </c>
    </row>
    <row r="507" customFormat="false" ht="15" hidden="false" customHeight="false" outlineLevel="0" collapsed="false">
      <c r="A507" s="9" t="n">
        <v>46214</v>
      </c>
      <c r="B507" s="10" t="s">
        <v>886</v>
      </c>
      <c r="C507" s="10" t="s">
        <v>902</v>
      </c>
      <c r="D507" s="9" t="n">
        <v>46220</v>
      </c>
      <c r="E507" s="10" t="s">
        <v>53</v>
      </c>
      <c r="F507" s="10" t="s">
        <v>15</v>
      </c>
      <c r="G507" s="10" t="s">
        <v>54</v>
      </c>
      <c r="H507" s="10"/>
      <c r="I507" s="11" t="s">
        <v>889</v>
      </c>
      <c r="J507" s="10" t="n">
        <f aca="false">IF(COUNTIFS($E$2:E507,E507,$A$2:A507,A507)=1,1,0)</f>
        <v>1</v>
      </c>
    </row>
    <row r="508" customFormat="false" ht="15" hidden="false" customHeight="false" outlineLevel="0" collapsed="false">
      <c r="A508" s="9" t="n">
        <v>46214</v>
      </c>
      <c r="B508" s="10" t="s">
        <v>886</v>
      </c>
      <c r="C508" s="10" t="s">
        <v>903</v>
      </c>
      <c r="D508" s="9" t="n">
        <v>46220</v>
      </c>
      <c r="E508" s="10" t="s">
        <v>116</v>
      </c>
      <c r="F508" s="10" t="s">
        <v>21</v>
      </c>
      <c r="G508" s="10" t="s">
        <v>117</v>
      </c>
      <c r="H508" s="10" t="s">
        <v>116</v>
      </c>
      <c r="I508" s="11" t="s">
        <v>889</v>
      </c>
      <c r="J508" s="10" t="n">
        <f aca="false">IF(COUNTIFS($E$2:E508,E508,$A$2:A508,A508)=1,1,0)</f>
        <v>0</v>
      </c>
    </row>
    <row r="509" customFormat="false" ht="15" hidden="false" customHeight="false" outlineLevel="0" collapsed="false">
      <c r="A509" s="9" t="n">
        <v>46214</v>
      </c>
      <c r="B509" s="10" t="s">
        <v>886</v>
      </c>
      <c r="C509" s="10" t="s">
        <v>904</v>
      </c>
      <c r="D509" s="9" t="n">
        <v>46221</v>
      </c>
      <c r="E509" s="10" t="s">
        <v>71</v>
      </c>
      <c r="F509" s="10" t="s">
        <v>27</v>
      </c>
      <c r="G509" s="10" t="s">
        <v>72</v>
      </c>
      <c r="H509" s="10" t="s">
        <v>341</v>
      </c>
      <c r="I509" s="11" t="s">
        <v>889</v>
      </c>
      <c r="J509" s="10" t="n">
        <f aca="false">IF(COUNTIFS($E$2:E509,E509,$A$2:A509,A509)=1,1,0)</f>
        <v>1</v>
      </c>
    </row>
    <row r="510" customFormat="false" ht="15" hidden="false" customHeight="false" outlineLevel="0" collapsed="false">
      <c r="A510" s="9" t="n">
        <v>46214</v>
      </c>
      <c r="B510" s="10" t="s">
        <v>886</v>
      </c>
      <c r="C510" s="10" t="s">
        <v>905</v>
      </c>
      <c r="D510" s="9" t="n">
        <v>46221</v>
      </c>
      <c r="E510" s="10" t="s">
        <v>38</v>
      </c>
      <c r="F510" s="10" t="s">
        <v>15</v>
      </c>
      <c r="G510" s="10" t="s">
        <v>39</v>
      </c>
      <c r="H510" s="10"/>
      <c r="I510" s="11" t="s">
        <v>889</v>
      </c>
      <c r="J510" s="10" t="n">
        <f aca="false">IF(COUNTIFS($E$2:E510,E510,$A$2:A510,A510)=1,1,0)</f>
        <v>0</v>
      </c>
    </row>
    <row r="511" customFormat="false" ht="15" hidden="false" customHeight="false" outlineLevel="0" collapsed="false">
      <c r="A511" s="9" t="n">
        <v>46214</v>
      </c>
      <c r="B511" s="10" t="s">
        <v>886</v>
      </c>
      <c r="C511" s="10" t="s">
        <v>522</v>
      </c>
      <c r="D511" s="9" t="n">
        <v>46221</v>
      </c>
      <c r="E511" s="10" t="s">
        <v>521</v>
      </c>
      <c r="F511" s="10" t="s">
        <v>177</v>
      </c>
      <c r="G511" s="10" t="s">
        <v>16</v>
      </c>
      <c r="H511" s="10" t="s">
        <v>523</v>
      </c>
      <c r="I511" s="11" t="s">
        <v>889</v>
      </c>
      <c r="J511" s="10" t="n">
        <f aca="false">IF(COUNTIFS($E$2:E511,E511,$A$2:A511,A511)=1,1,0)</f>
        <v>1</v>
      </c>
    </row>
    <row r="512" customFormat="false" ht="15" hidden="false" customHeight="false" outlineLevel="0" collapsed="false">
      <c r="A512" s="9" t="n">
        <v>46214</v>
      </c>
      <c r="B512" s="10" t="s">
        <v>886</v>
      </c>
      <c r="C512" s="10" t="s">
        <v>906</v>
      </c>
      <c r="D512" s="9" t="n">
        <v>46222</v>
      </c>
      <c r="E512" s="10" t="s">
        <v>169</v>
      </c>
      <c r="F512" s="10" t="s">
        <v>15</v>
      </c>
      <c r="G512" s="10" t="s">
        <v>39</v>
      </c>
      <c r="H512" s="10"/>
      <c r="I512" s="11" t="s">
        <v>889</v>
      </c>
      <c r="J512" s="10" t="n">
        <f aca="false">IF(COUNTIFS($E$2:E512,E512,$A$2:A512,A512)=1,1,0)</f>
        <v>1</v>
      </c>
    </row>
    <row r="513" customFormat="false" ht="15" hidden="false" customHeight="false" outlineLevel="0" collapsed="false">
      <c r="A513" s="9" t="n">
        <v>46214</v>
      </c>
      <c r="B513" s="10" t="s">
        <v>886</v>
      </c>
      <c r="C513" s="10" t="s">
        <v>907</v>
      </c>
      <c r="D513" s="9" t="n">
        <v>46222</v>
      </c>
      <c r="E513" s="10" t="s">
        <v>48</v>
      </c>
      <c r="F513" s="10" t="s">
        <v>33</v>
      </c>
      <c r="G513" s="10" t="s">
        <v>49</v>
      </c>
      <c r="H513" s="10" t="s">
        <v>908</v>
      </c>
      <c r="I513" s="11" t="s">
        <v>889</v>
      </c>
      <c r="J513" s="10" t="n">
        <f aca="false">IF(COUNTIFS($E$2:E513,E513,$A$2:A513,A513)=1,1,0)</f>
        <v>1</v>
      </c>
    </row>
    <row r="514" customFormat="false" ht="15" hidden="false" customHeight="false" outlineLevel="0" collapsed="false">
      <c r="A514" s="9" t="n">
        <v>46214</v>
      </c>
      <c r="B514" s="10" t="s">
        <v>886</v>
      </c>
      <c r="C514" s="10" t="s">
        <v>556</v>
      </c>
      <c r="D514" s="9" t="n">
        <v>46223</v>
      </c>
      <c r="E514" s="10" t="s">
        <v>554</v>
      </c>
      <c r="F514" s="10" t="s">
        <v>21</v>
      </c>
      <c r="G514" s="10" t="s">
        <v>555</v>
      </c>
      <c r="H514" s="10"/>
      <c r="I514" s="11" t="s">
        <v>889</v>
      </c>
      <c r="J514" s="10" t="n">
        <f aca="false">IF(COUNTIFS($E$2:E514,E514,$A$2:A514,A514)=1,1,0)</f>
        <v>1</v>
      </c>
    </row>
    <row r="515" customFormat="false" ht="15" hidden="false" customHeight="false" outlineLevel="0" collapsed="false">
      <c r="A515" s="9" t="n">
        <v>46214</v>
      </c>
      <c r="B515" s="10" t="s">
        <v>886</v>
      </c>
      <c r="C515" s="10" t="s">
        <v>277</v>
      </c>
      <c r="D515" s="9" t="n">
        <v>46224</v>
      </c>
      <c r="E515" s="10" t="s">
        <v>276</v>
      </c>
      <c r="F515" s="10" t="s">
        <v>21</v>
      </c>
      <c r="G515" s="10" t="s">
        <v>28</v>
      </c>
      <c r="H515" s="10" t="s">
        <v>198</v>
      </c>
      <c r="I515" s="11" t="s">
        <v>889</v>
      </c>
      <c r="J515" s="10" t="n">
        <f aca="false">IF(COUNTIFS($E$2:E515,E515,$A$2:A515,A515)=1,1,0)</f>
        <v>1</v>
      </c>
    </row>
    <row r="516" customFormat="false" ht="15" hidden="false" customHeight="false" outlineLevel="0" collapsed="false">
      <c r="A516" s="9" t="n">
        <v>46214</v>
      </c>
      <c r="B516" s="10" t="s">
        <v>886</v>
      </c>
      <c r="C516" s="10" t="s">
        <v>126</v>
      </c>
      <c r="D516" s="9" t="n">
        <v>46225</v>
      </c>
      <c r="E516" s="10" t="s">
        <v>125</v>
      </c>
      <c r="F516" s="10" t="s">
        <v>107</v>
      </c>
      <c r="G516" s="10" t="s">
        <v>39</v>
      </c>
      <c r="H516" s="10"/>
      <c r="I516" s="11" t="s">
        <v>889</v>
      </c>
      <c r="J516" s="10" t="n">
        <f aca="false">IF(COUNTIFS($E$2:E516,E516,$A$2:A516,A516)=1,1,0)</f>
        <v>1</v>
      </c>
    </row>
    <row r="517" customFormat="false" ht="15" hidden="false" customHeight="false" outlineLevel="0" collapsed="false">
      <c r="A517" s="9" t="n">
        <v>46214</v>
      </c>
      <c r="B517" s="10" t="s">
        <v>886</v>
      </c>
      <c r="C517" s="10" t="s">
        <v>464</v>
      </c>
      <c r="D517" s="9" t="n">
        <v>46227</v>
      </c>
      <c r="E517" s="10" t="s">
        <v>463</v>
      </c>
      <c r="F517" s="10" t="s">
        <v>21</v>
      </c>
      <c r="G517" s="10" t="s">
        <v>39</v>
      </c>
      <c r="H517" s="10"/>
      <c r="I517" s="11" t="s">
        <v>889</v>
      </c>
      <c r="J517" s="10" t="n">
        <f aca="false">IF(COUNTIFS($E$2:E517,E517,$A$2:A517,A517)=1,1,0)</f>
        <v>1</v>
      </c>
    </row>
    <row r="518" customFormat="false" ht="15" hidden="false" customHeight="false" outlineLevel="0" collapsed="false">
      <c r="A518" s="9" t="n">
        <v>46214</v>
      </c>
      <c r="B518" s="10" t="s">
        <v>886</v>
      </c>
      <c r="C518" s="10" t="s">
        <v>909</v>
      </c>
      <c r="D518" s="9" t="n">
        <v>46227</v>
      </c>
      <c r="E518" s="10" t="s">
        <v>38</v>
      </c>
      <c r="F518" s="10" t="s">
        <v>15</v>
      </c>
      <c r="G518" s="10" t="s">
        <v>39</v>
      </c>
      <c r="H518" s="10"/>
      <c r="I518" s="11" t="s">
        <v>889</v>
      </c>
      <c r="J518" s="10" t="n">
        <f aca="false">IF(COUNTIFS($E$2:E518,E518,$A$2:A518,A518)=1,1,0)</f>
        <v>0</v>
      </c>
    </row>
    <row r="519" customFormat="false" ht="15" hidden="false" customHeight="false" outlineLevel="0" collapsed="false">
      <c r="A519" s="9" t="n">
        <v>46214</v>
      </c>
      <c r="B519" s="10" t="s">
        <v>886</v>
      </c>
      <c r="C519" s="10" t="s">
        <v>103</v>
      </c>
      <c r="D519" s="9" t="n">
        <v>46228</v>
      </c>
      <c r="E519" s="10" t="s">
        <v>101</v>
      </c>
      <c r="F519" s="10" t="s">
        <v>21</v>
      </c>
      <c r="G519" s="10" t="s">
        <v>102</v>
      </c>
      <c r="H519" s="10" t="s">
        <v>104</v>
      </c>
      <c r="I519" s="11" t="s">
        <v>889</v>
      </c>
      <c r="J519" s="10" t="n">
        <f aca="false">IF(COUNTIFS($E$2:E519,E519,$A$2:A519,A519)=1,1,0)</f>
        <v>1</v>
      </c>
    </row>
    <row r="520" customFormat="false" ht="15" hidden="false" customHeight="false" outlineLevel="0" collapsed="false">
      <c r="A520" s="9" t="n">
        <v>46214</v>
      </c>
      <c r="B520" s="10" t="s">
        <v>886</v>
      </c>
      <c r="C520" s="10" t="s">
        <v>768</v>
      </c>
      <c r="D520" s="9" t="n">
        <v>46229</v>
      </c>
      <c r="E520" s="10" t="s">
        <v>43</v>
      </c>
      <c r="F520" s="10" t="s">
        <v>44</v>
      </c>
      <c r="G520" s="10" t="s">
        <v>45</v>
      </c>
      <c r="H520" s="10" t="s">
        <v>703</v>
      </c>
      <c r="I520" s="11" t="s">
        <v>889</v>
      </c>
      <c r="J520" s="10" t="n">
        <f aca="false">IF(COUNTIFS($E$2:E520,E520,$A$2:A520,A520)=1,1,0)</f>
        <v>1</v>
      </c>
    </row>
    <row r="521" customFormat="false" ht="15" hidden="false" customHeight="false" outlineLevel="0" collapsed="false">
      <c r="A521" s="9" t="n">
        <v>46214</v>
      </c>
      <c r="B521" s="10" t="s">
        <v>886</v>
      </c>
      <c r="C521" s="10" t="s">
        <v>78</v>
      </c>
      <c r="D521" s="9" t="n">
        <v>46229</v>
      </c>
      <c r="E521" s="10" t="s">
        <v>76</v>
      </c>
      <c r="F521" s="10" t="s">
        <v>21</v>
      </c>
      <c r="G521" s="10" t="s">
        <v>77</v>
      </c>
      <c r="H521" s="10" t="s">
        <v>79</v>
      </c>
      <c r="I521" s="11" t="s">
        <v>889</v>
      </c>
      <c r="J521" s="10" t="n">
        <f aca="false">IF(COUNTIFS($E$2:E521,E521,$A$2:A521,A521)=1,1,0)</f>
        <v>1</v>
      </c>
    </row>
    <row r="522" customFormat="false" ht="15" hidden="false" customHeight="false" outlineLevel="0" collapsed="false">
      <c r="A522" s="9" t="n">
        <v>46214</v>
      </c>
      <c r="B522" s="10" t="s">
        <v>886</v>
      </c>
      <c r="C522" s="10" t="s">
        <v>910</v>
      </c>
      <c r="D522" s="9" t="n">
        <v>46229</v>
      </c>
      <c r="E522" s="10" t="s">
        <v>199</v>
      </c>
      <c r="F522" s="10" t="s">
        <v>177</v>
      </c>
      <c r="G522" s="10" t="s">
        <v>200</v>
      </c>
      <c r="H522" s="10" t="s">
        <v>202</v>
      </c>
      <c r="I522" s="11" t="s">
        <v>889</v>
      </c>
      <c r="J522" s="10" t="n">
        <f aca="false">IF(COUNTIFS($E$2:E522,E522,$A$2:A522,A522)=1,1,0)</f>
        <v>1</v>
      </c>
    </row>
    <row r="523" customFormat="false" ht="15" hidden="false" customHeight="false" outlineLevel="0" collapsed="false">
      <c r="A523" s="9" t="n">
        <v>46214</v>
      </c>
      <c r="B523" s="10" t="s">
        <v>886</v>
      </c>
      <c r="C523" s="10" t="s">
        <v>911</v>
      </c>
      <c r="D523" s="9" t="n">
        <v>46229</v>
      </c>
      <c r="E523" s="10" t="s">
        <v>172</v>
      </c>
      <c r="F523" s="10" t="s">
        <v>15</v>
      </c>
      <c r="G523" s="10" t="s">
        <v>173</v>
      </c>
      <c r="H523" s="10" t="s">
        <v>175</v>
      </c>
      <c r="I523" s="11" t="s">
        <v>889</v>
      </c>
      <c r="J523" s="10" t="n">
        <f aca="false">IF(COUNTIFS($E$2:E523,E523,$A$2:A523,A523)=1,1,0)</f>
        <v>1</v>
      </c>
    </row>
    <row r="524" customFormat="false" ht="15" hidden="false" customHeight="false" outlineLevel="0" collapsed="false">
      <c r="A524" s="9" t="n">
        <v>46214</v>
      </c>
      <c r="B524" s="10" t="s">
        <v>886</v>
      </c>
      <c r="C524" s="10" t="s">
        <v>912</v>
      </c>
      <c r="D524" s="9" t="n">
        <v>46229</v>
      </c>
      <c r="E524" s="10" t="s">
        <v>14</v>
      </c>
      <c r="F524" s="10" t="s">
        <v>15</v>
      </c>
      <c r="G524" s="10" t="s">
        <v>16</v>
      </c>
      <c r="H524" s="10"/>
      <c r="I524" s="11" t="s">
        <v>889</v>
      </c>
      <c r="J524" s="10" t="n">
        <f aca="false">IF(COUNTIFS($E$2:E524,E524,$A$2:A524,A524)=1,1,0)</f>
        <v>0</v>
      </c>
    </row>
    <row r="525" customFormat="false" ht="15" hidden="false" customHeight="false" outlineLevel="0" collapsed="false">
      <c r="A525" s="9" t="n">
        <v>46214</v>
      </c>
      <c r="B525" s="10" t="s">
        <v>886</v>
      </c>
      <c r="C525" s="10" t="s">
        <v>720</v>
      </c>
      <c r="D525" s="9" t="n">
        <v>46229</v>
      </c>
      <c r="E525" s="10" t="s">
        <v>14</v>
      </c>
      <c r="F525" s="10" t="s">
        <v>15</v>
      </c>
      <c r="G525" s="10" t="s">
        <v>16</v>
      </c>
      <c r="H525" s="10" t="s">
        <v>520</v>
      </c>
      <c r="I525" s="11" t="s">
        <v>889</v>
      </c>
      <c r="J525" s="10" t="n">
        <f aca="false">IF(COUNTIFS($E$2:E525,E525,$A$2:A525,A525)=1,1,0)</f>
        <v>0</v>
      </c>
    </row>
    <row r="526" customFormat="false" ht="15" hidden="false" customHeight="false" outlineLevel="0" collapsed="false">
      <c r="A526" s="9" t="n">
        <v>46214</v>
      </c>
      <c r="B526" s="10" t="s">
        <v>886</v>
      </c>
      <c r="C526" s="10" t="s">
        <v>913</v>
      </c>
      <c r="D526" s="9" t="n">
        <v>46231</v>
      </c>
      <c r="E526" s="10" t="s">
        <v>318</v>
      </c>
      <c r="F526" s="10" t="s">
        <v>21</v>
      </c>
      <c r="G526" s="10" t="s">
        <v>319</v>
      </c>
      <c r="H526" s="10" t="s">
        <v>914</v>
      </c>
      <c r="I526" s="11" t="s">
        <v>889</v>
      </c>
      <c r="J526" s="10" t="n">
        <f aca="false">IF(COUNTIFS($E$2:E526,E526,$A$2:A526,A526)=1,1,0)</f>
        <v>1</v>
      </c>
    </row>
    <row r="527" customFormat="false" ht="15" hidden="false" customHeight="false" outlineLevel="0" collapsed="false">
      <c r="A527" s="9" t="n">
        <v>46214</v>
      </c>
      <c r="B527" s="10" t="s">
        <v>886</v>
      </c>
      <c r="C527" s="10" t="s">
        <v>519</v>
      </c>
      <c r="D527" s="9" t="n">
        <v>46231</v>
      </c>
      <c r="E527" s="10" t="s">
        <v>517</v>
      </c>
      <c r="F527" s="10" t="s">
        <v>15</v>
      </c>
      <c r="G527" s="10" t="s">
        <v>518</v>
      </c>
      <c r="H527" s="10" t="s">
        <v>520</v>
      </c>
      <c r="I527" s="11" t="s">
        <v>889</v>
      </c>
      <c r="J527" s="10" t="n">
        <f aca="false">IF(COUNTIFS($E$2:E527,E527,$A$2:A527,A527)=1,1,0)</f>
        <v>1</v>
      </c>
    </row>
    <row r="528" customFormat="false" ht="15" hidden="false" customHeight="false" outlineLevel="0" collapsed="false">
      <c r="A528" s="9" t="n">
        <v>46214</v>
      </c>
      <c r="B528" s="10" t="s">
        <v>886</v>
      </c>
      <c r="C528" s="10" t="s">
        <v>915</v>
      </c>
      <c r="D528" s="9" t="n">
        <v>46232</v>
      </c>
      <c r="E528" s="10" t="s">
        <v>62</v>
      </c>
      <c r="F528" s="10" t="s">
        <v>15</v>
      </c>
      <c r="G528" s="10" t="s">
        <v>63</v>
      </c>
      <c r="H528" s="10"/>
      <c r="I528" s="11" t="s">
        <v>889</v>
      </c>
      <c r="J528" s="10" t="n">
        <f aca="false">IF(COUNTIFS($E$2:E528,E528,$A$2:A528,A528)=1,1,0)</f>
        <v>0</v>
      </c>
    </row>
    <row r="529" customFormat="false" ht="15" hidden="false" customHeight="false" outlineLevel="0" collapsed="false">
      <c r="A529" s="9" t="n">
        <v>46214</v>
      </c>
      <c r="B529" s="10" t="s">
        <v>886</v>
      </c>
      <c r="C529" s="10" t="s">
        <v>35</v>
      </c>
      <c r="D529" s="9" t="n">
        <v>46233</v>
      </c>
      <c r="E529" s="10" t="s">
        <v>32</v>
      </c>
      <c r="F529" s="10" t="s">
        <v>33</v>
      </c>
      <c r="G529" s="10" t="s">
        <v>34</v>
      </c>
      <c r="H529" s="10" t="s">
        <v>36</v>
      </c>
      <c r="I529" s="11" t="s">
        <v>889</v>
      </c>
      <c r="J529" s="10" t="n">
        <f aca="false">IF(COUNTIFS($E$2:E529,E529,$A$2:A529,A529)=1,1,0)</f>
        <v>0</v>
      </c>
    </row>
    <row r="530" customFormat="false" ht="15" hidden="false" customHeight="false" outlineLevel="0" collapsed="false">
      <c r="A530" s="9" t="n">
        <v>46214</v>
      </c>
      <c r="B530" s="10" t="s">
        <v>886</v>
      </c>
      <c r="C530" s="10" t="s">
        <v>29</v>
      </c>
      <c r="D530" s="9" t="n">
        <v>46234</v>
      </c>
      <c r="E530" s="10" t="s">
        <v>26</v>
      </c>
      <c r="F530" s="10" t="s">
        <v>27</v>
      </c>
      <c r="G530" s="10" t="s">
        <v>28</v>
      </c>
      <c r="H530" s="10" t="s">
        <v>670</v>
      </c>
      <c r="I530" s="11" t="s">
        <v>889</v>
      </c>
      <c r="J530" s="10" t="n">
        <f aca="false">IF(COUNTIFS($E$2:E530,E530,$A$2:A530,A530)=1,1,0)</f>
        <v>0</v>
      </c>
    </row>
    <row r="531" customFormat="false" ht="15" hidden="false" customHeight="false" outlineLevel="0" collapsed="false">
      <c r="A531" s="9" t="n">
        <v>46214</v>
      </c>
      <c r="B531" s="10" t="s">
        <v>886</v>
      </c>
      <c r="C531" s="10" t="s">
        <v>916</v>
      </c>
      <c r="D531" s="9" t="n">
        <v>46235</v>
      </c>
      <c r="E531" s="10" t="s">
        <v>53</v>
      </c>
      <c r="F531" s="10" t="s">
        <v>15</v>
      </c>
      <c r="G531" s="10" t="s">
        <v>54</v>
      </c>
      <c r="H531" s="10" t="s">
        <v>36</v>
      </c>
      <c r="I531" s="11" t="s">
        <v>889</v>
      </c>
      <c r="J531" s="10" t="n">
        <f aca="false">IF(COUNTIFS($E$2:E531,E531,$A$2:A531,A531)=1,1,0)</f>
        <v>0</v>
      </c>
    </row>
    <row r="532" customFormat="false" ht="15" hidden="false" customHeight="false" outlineLevel="0" collapsed="false">
      <c r="A532" s="9" t="n">
        <v>46214</v>
      </c>
      <c r="B532" s="10" t="s">
        <v>886</v>
      </c>
      <c r="C532" s="10" t="s">
        <v>385</v>
      </c>
      <c r="D532" s="9" t="n">
        <v>46237</v>
      </c>
      <c r="E532" s="10" t="s">
        <v>383</v>
      </c>
      <c r="F532" s="10" t="s">
        <v>21</v>
      </c>
      <c r="G532" s="10" t="s">
        <v>384</v>
      </c>
      <c r="H532" s="10" t="s">
        <v>386</v>
      </c>
      <c r="I532" s="11" t="s">
        <v>889</v>
      </c>
      <c r="J532" s="10" t="n">
        <f aca="false">IF(COUNTIFS($E$2:E532,E532,$A$2:A532,A532)=1,1,0)</f>
        <v>1</v>
      </c>
    </row>
    <row r="533" customFormat="false" ht="15" hidden="false" customHeight="false" outlineLevel="0" collapsed="false">
      <c r="A533" s="9" t="n">
        <v>46214</v>
      </c>
      <c r="B533" s="10" t="s">
        <v>886</v>
      </c>
      <c r="C533" s="10" t="s">
        <v>917</v>
      </c>
      <c r="D533" s="9" t="n">
        <v>46241</v>
      </c>
      <c r="E533" s="10" t="s">
        <v>26</v>
      </c>
      <c r="F533" s="10" t="s">
        <v>27</v>
      </c>
      <c r="G533" s="10" t="s">
        <v>28</v>
      </c>
      <c r="H533" s="10" t="s">
        <v>670</v>
      </c>
      <c r="I533" s="11" t="s">
        <v>889</v>
      </c>
      <c r="J533" s="10" t="n">
        <f aca="false">IF(COUNTIFS($E$2:E533,E533,$A$2:A533,A533)=1,1,0)</f>
        <v>0</v>
      </c>
    </row>
    <row r="534" customFormat="false" ht="15" hidden="false" customHeight="false" outlineLevel="0" collapsed="false">
      <c r="A534" s="9" t="n">
        <v>46214</v>
      </c>
      <c r="B534" s="10" t="s">
        <v>886</v>
      </c>
      <c r="C534" s="10" t="s">
        <v>918</v>
      </c>
      <c r="D534" s="9" t="n">
        <v>46242</v>
      </c>
      <c r="E534" s="10" t="s">
        <v>62</v>
      </c>
      <c r="F534" s="10" t="s">
        <v>15</v>
      </c>
      <c r="G534" s="10" t="s">
        <v>63</v>
      </c>
      <c r="H534" s="10" t="s">
        <v>69</v>
      </c>
      <c r="I534" s="11" t="s">
        <v>889</v>
      </c>
      <c r="J534" s="10" t="n">
        <f aca="false">IF(COUNTIFS($E$2:E534,E534,$A$2:A534,A534)=1,1,0)</f>
        <v>0</v>
      </c>
    </row>
    <row r="535" customFormat="false" ht="15" hidden="false" customHeight="false" outlineLevel="0" collapsed="false">
      <c r="A535" s="9" t="n">
        <v>46214</v>
      </c>
      <c r="B535" s="10" t="s">
        <v>886</v>
      </c>
      <c r="C535" s="10" t="s">
        <v>777</v>
      </c>
      <c r="D535" s="9" t="n">
        <v>46244</v>
      </c>
      <c r="E535" s="10" t="s">
        <v>58</v>
      </c>
      <c r="F535" s="10" t="s">
        <v>21</v>
      </c>
      <c r="G535" s="10" t="s">
        <v>39</v>
      </c>
      <c r="H535" s="10"/>
      <c r="I535" s="11" t="s">
        <v>889</v>
      </c>
      <c r="J535" s="10" t="n">
        <f aca="false">IF(COUNTIFS($E$2:E535,E535,$A$2:A535,A535)=1,1,0)</f>
        <v>1</v>
      </c>
    </row>
    <row r="536" customFormat="false" ht="15" hidden="false" customHeight="false" outlineLevel="0" collapsed="false">
      <c r="A536" s="9" t="n">
        <v>46235</v>
      </c>
      <c r="B536" s="10" t="s">
        <v>919</v>
      </c>
      <c r="C536" s="10" t="s">
        <v>156</v>
      </c>
      <c r="D536" s="9" t="n">
        <v>46235</v>
      </c>
      <c r="E536" s="10" t="s">
        <v>153</v>
      </c>
      <c r="F536" s="10" t="s">
        <v>154</v>
      </c>
      <c r="G536" s="10" t="s">
        <v>155</v>
      </c>
      <c r="H536" s="10" t="s">
        <v>920</v>
      </c>
      <c r="I536" s="11" t="s">
        <v>921</v>
      </c>
      <c r="J536" s="10" t="n">
        <f aca="false">IF(COUNTIFS($E$2:E536,E536,$A$2:A536,A536)=1,1,0)</f>
        <v>1</v>
      </c>
    </row>
    <row r="537" customFormat="false" ht="15" hidden="false" customHeight="false" outlineLevel="0" collapsed="false">
      <c r="A537" s="9" t="n">
        <v>46235</v>
      </c>
      <c r="B537" s="10" t="s">
        <v>919</v>
      </c>
      <c r="C537" s="10" t="s">
        <v>916</v>
      </c>
      <c r="D537" s="9" t="n">
        <v>46235</v>
      </c>
      <c r="E537" s="10" t="s">
        <v>53</v>
      </c>
      <c r="F537" s="10" t="s">
        <v>15</v>
      </c>
      <c r="G537" s="10" t="s">
        <v>54</v>
      </c>
      <c r="H537" s="10" t="s">
        <v>36</v>
      </c>
      <c r="I537" s="11" t="s">
        <v>921</v>
      </c>
      <c r="J537" s="10" t="n">
        <f aca="false">IF(COUNTIFS($E$2:E537,E537,$A$2:A537,A537)=1,1,0)</f>
        <v>1</v>
      </c>
    </row>
    <row r="538" customFormat="false" ht="15" hidden="false" customHeight="false" outlineLevel="0" collapsed="false">
      <c r="A538" s="9" t="n">
        <v>46235</v>
      </c>
      <c r="B538" s="10" t="s">
        <v>919</v>
      </c>
      <c r="C538" s="10" t="s">
        <v>479</v>
      </c>
      <c r="D538" s="9" t="n">
        <v>46236</v>
      </c>
      <c r="E538" s="10" t="s">
        <v>478</v>
      </c>
      <c r="F538" s="10" t="s">
        <v>87</v>
      </c>
      <c r="G538" s="10" t="s">
        <v>88</v>
      </c>
      <c r="H538" s="10" t="s">
        <v>480</v>
      </c>
      <c r="I538" s="11" t="s">
        <v>921</v>
      </c>
      <c r="J538" s="10" t="n">
        <f aca="false">IF(COUNTIFS($E$2:E538,E538,$A$2:A538,A538)=1,1,0)</f>
        <v>1</v>
      </c>
    </row>
    <row r="539" customFormat="false" ht="15" hidden="false" customHeight="false" outlineLevel="0" collapsed="false">
      <c r="A539" s="9" t="n">
        <v>46235</v>
      </c>
      <c r="B539" s="10" t="s">
        <v>919</v>
      </c>
      <c r="C539" s="10" t="s">
        <v>922</v>
      </c>
      <c r="D539" s="9" t="n">
        <v>46236</v>
      </c>
      <c r="E539" s="10" t="s">
        <v>14</v>
      </c>
      <c r="F539" s="10" t="s">
        <v>15</v>
      </c>
      <c r="G539" s="10" t="s">
        <v>16</v>
      </c>
      <c r="H539" s="10" t="s">
        <v>520</v>
      </c>
      <c r="I539" s="11" t="s">
        <v>921</v>
      </c>
      <c r="J539" s="10" t="n">
        <f aca="false">IF(COUNTIFS($E$2:E539,E539,$A$2:A539,A539)=1,1,0)</f>
        <v>1</v>
      </c>
    </row>
    <row r="540" customFormat="false" ht="15" hidden="false" customHeight="false" outlineLevel="0" collapsed="false">
      <c r="A540" s="9" t="n">
        <v>46235</v>
      </c>
      <c r="B540" s="10" t="s">
        <v>919</v>
      </c>
      <c r="C540" s="10" t="s">
        <v>891</v>
      </c>
      <c r="D540" s="9" t="n">
        <v>46236</v>
      </c>
      <c r="E540" s="10" t="s">
        <v>116</v>
      </c>
      <c r="F540" s="10" t="s">
        <v>21</v>
      </c>
      <c r="G540" s="10" t="s">
        <v>117</v>
      </c>
      <c r="H540" s="10" t="s">
        <v>116</v>
      </c>
      <c r="I540" s="11" t="s">
        <v>921</v>
      </c>
      <c r="J540" s="10" t="n">
        <f aca="false">IF(COUNTIFS($E$2:E540,E540,$A$2:A540,A540)=1,1,0)</f>
        <v>1</v>
      </c>
    </row>
    <row r="541" customFormat="false" ht="15" hidden="false" customHeight="false" outlineLevel="0" collapsed="false">
      <c r="A541" s="9" t="n">
        <v>46235</v>
      </c>
      <c r="B541" s="10" t="s">
        <v>919</v>
      </c>
      <c r="C541" s="10" t="s">
        <v>604</v>
      </c>
      <c r="D541" s="9" t="n">
        <v>46239</v>
      </c>
      <c r="E541" s="10" t="s">
        <v>20</v>
      </c>
      <c r="F541" s="10" t="s">
        <v>21</v>
      </c>
      <c r="G541" s="10" t="s">
        <v>22</v>
      </c>
      <c r="H541" s="10" t="s">
        <v>24</v>
      </c>
      <c r="I541" s="11" t="s">
        <v>921</v>
      </c>
      <c r="J541" s="10" t="n">
        <f aca="false">IF(COUNTIFS($E$2:E541,E541,$A$2:A541,A541)=1,1,0)</f>
        <v>1</v>
      </c>
    </row>
    <row r="542" customFormat="false" ht="15" hidden="false" customHeight="false" outlineLevel="0" collapsed="false">
      <c r="A542" s="9" t="n">
        <v>46235</v>
      </c>
      <c r="B542" s="10" t="s">
        <v>919</v>
      </c>
      <c r="C542" s="10" t="s">
        <v>419</v>
      </c>
      <c r="D542" s="9" t="n">
        <v>46241</v>
      </c>
      <c r="E542" s="10" t="s">
        <v>418</v>
      </c>
      <c r="F542" s="10" t="s">
        <v>177</v>
      </c>
      <c r="G542" s="10" t="s">
        <v>39</v>
      </c>
      <c r="H542" s="10" t="s">
        <v>420</v>
      </c>
      <c r="I542" s="11" t="s">
        <v>921</v>
      </c>
      <c r="J542" s="10" t="n">
        <f aca="false">IF(COUNTIFS($E$2:E542,E542,$A$2:A542,A542)=1,1,0)</f>
        <v>1</v>
      </c>
    </row>
    <row r="543" customFormat="false" ht="15" hidden="false" customHeight="false" outlineLevel="0" collapsed="false">
      <c r="A543" s="9" t="n">
        <v>46235</v>
      </c>
      <c r="B543" s="10" t="s">
        <v>919</v>
      </c>
      <c r="C543" s="10" t="s">
        <v>231</v>
      </c>
      <c r="D543" s="9" t="n">
        <v>46241</v>
      </c>
      <c r="E543" s="10" t="s">
        <v>230</v>
      </c>
      <c r="F543" s="10" t="s">
        <v>177</v>
      </c>
      <c r="G543" s="10" t="s">
        <v>155</v>
      </c>
      <c r="H543" s="10" t="s">
        <v>446</v>
      </c>
      <c r="I543" s="11" t="s">
        <v>921</v>
      </c>
      <c r="J543" s="10" t="n">
        <f aca="false">IF(COUNTIFS($E$2:E543,E543,$A$2:A543,A543)=1,1,0)</f>
        <v>1</v>
      </c>
    </row>
    <row r="544" customFormat="false" ht="15" hidden="false" customHeight="false" outlineLevel="0" collapsed="false">
      <c r="A544" s="9" t="n">
        <v>46235</v>
      </c>
      <c r="B544" s="10" t="s">
        <v>919</v>
      </c>
      <c r="C544" s="10" t="s">
        <v>923</v>
      </c>
      <c r="D544" s="9" t="n">
        <v>46241</v>
      </c>
      <c r="E544" s="10" t="s">
        <v>176</v>
      </c>
      <c r="F544" s="10" t="s">
        <v>177</v>
      </c>
      <c r="G544" s="10" t="s">
        <v>28</v>
      </c>
      <c r="H544" s="10"/>
      <c r="I544" s="11" t="s">
        <v>921</v>
      </c>
      <c r="J544" s="10" t="n">
        <f aca="false">IF(COUNTIFS($E$2:E544,E544,$A$2:A544,A544)=1,1,0)</f>
        <v>1</v>
      </c>
    </row>
    <row r="545" customFormat="false" ht="15" hidden="false" customHeight="false" outlineLevel="0" collapsed="false">
      <c r="A545" s="9" t="n">
        <v>46235</v>
      </c>
      <c r="B545" s="10" t="s">
        <v>919</v>
      </c>
      <c r="C545" s="10" t="s">
        <v>917</v>
      </c>
      <c r="D545" s="9" t="n">
        <v>46241</v>
      </c>
      <c r="E545" s="10" t="s">
        <v>26</v>
      </c>
      <c r="F545" s="10" t="s">
        <v>27</v>
      </c>
      <c r="G545" s="10" t="s">
        <v>28</v>
      </c>
      <c r="H545" s="10" t="s">
        <v>670</v>
      </c>
      <c r="I545" s="11" t="s">
        <v>921</v>
      </c>
      <c r="J545" s="10" t="n">
        <f aca="false">IF(COUNTIFS($E$2:E545,E545,$A$2:A545,A545)=1,1,0)</f>
        <v>1</v>
      </c>
    </row>
    <row r="546" customFormat="false" ht="15" hidden="false" customHeight="false" outlineLevel="0" collapsed="false">
      <c r="A546" s="9" t="n">
        <v>46235</v>
      </c>
      <c r="B546" s="10" t="s">
        <v>919</v>
      </c>
      <c r="C546" s="10" t="s">
        <v>918</v>
      </c>
      <c r="D546" s="9" t="n">
        <v>46242</v>
      </c>
      <c r="E546" s="10" t="s">
        <v>62</v>
      </c>
      <c r="F546" s="10" t="s">
        <v>15</v>
      </c>
      <c r="G546" s="10" t="s">
        <v>63</v>
      </c>
      <c r="H546" s="10" t="s">
        <v>69</v>
      </c>
      <c r="I546" s="11" t="s">
        <v>921</v>
      </c>
      <c r="J546" s="10" t="n">
        <f aca="false">IF(COUNTIFS($E$2:E546,E546,$A$2:A546,A546)=1,1,0)</f>
        <v>1</v>
      </c>
    </row>
    <row r="547" customFormat="false" ht="15" hidden="false" customHeight="false" outlineLevel="0" collapsed="false">
      <c r="A547" s="9" t="n">
        <v>46235</v>
      </c>
      <c r="B547" s="10" t="s">
        <v>919</v>
      </c>
      <c r="C547" s="10" t="s">
        <v>317</v>
      </c>
      <c r="D547" s="9" t="n">
        <v>46242</v>
      </c>
      <c r="E547" s="10" t="s">
        <v>490</v>
      </c>
      <c r="F547" s="10" t="s">
        <v>27</v>
      </c>
      <c r="G547" s="10" t="s">
        <v>295</v>
      </c>
      <c r="H547" s="10" t="s">
        <v>491</v>
      </c>
      <c r="I547" s="11" t="s">
        <v>921</v>
      </c>
      <c r="J547" s="10" t="n">
        <f aca="false">IF(COUNTIFS($E$2:E547,E547,$A$2:A547,A547)=1,1,0)</f>
        <v>1</v>
      </c>
    </row>
    <row r="548" customFormat="false" ht="15" hidden="false" customHeight="false" outlineLevel="0" collapsed="false">
      <c r="A548" s="9" t="n">
        <v>46235</v>
      </c>
      <c r="B548" s="10" t="s">
        <v>919</v>
      </c>
      <c r="C548" s="10" t="s">
        <v>907</v>
      </c>
      <c r="D548" s="9" t="n">
        <v>46242</v>
      </c>
      <c r="E548" s="10" t="s">
        <v>48</v>
      </c>
      <c r="F548" s="10" t="s">
        <v>33</v>
      </c>
      <c r="G548" s="10" t="s">
        <v>49</v>
      </c>
      <c r="H548" s="10" t="s">
        <v>908</v>
      </c>
      <c r="I548" s="11" t="s">
        <v>921</v>
      </c>
      <c r="J548" s="10" t="n">
        <f aca="false">IF(COUNTIFS($E$2:E548,E548,$A$2:A548,A548)=1,1,0)</f>
        <v>1</v>
      </c>
    </row>
    <row r="549" customFormat="false" ht="15" hidden="false" customHeight="false" outlineLevel="0" collapsed="false">
      <c r="A549" s="9" t="n">
        <v>46235</v>
      </c>
      <c r="B549" s="10" t="s">
        <v>919</v>
      </c>
      <c r="C549" s="10" t="s">
        <v>59</v>
      </c>
      <c r="D549" s="9" t="n">
        <v>46244</v>
      </c>
      <c r="E549" s="10" t="s">
        <v>58</v>
      </c>
      <c r="F549" s="10" t="s">
        <v>21</v>
      </c>
      <c r="G549" s="10" t="s">
        <v>39</v>
      </c>
      <c r="H549" s="10" t="s">
        <v>924</v>
      </c>
      <c r="I549" s="11" t="s">
        <v>921</v>
      </c>
      <c r="J549" s="10" t="n">
        <f aca="false">IF(COUNTIFS($E$2:E549,E549,$A$2:A549,A549)=1,1,0)</f>
        <v>1</v>
      </c>
    </row>
    <row r="550" customFormat="false" ht="15" hidden="false" customHeight="false" outlineLevel="0" collapsed="false">
      <c r="A550" s="9" t="n">
        <v>46235</v>
      </c>
      <c r="B550" s="10" t="s">
        <v>919</v>
      </c>
      <c r="C550" s="10" t="s">
        <v>277</v>
      </c>
      <c r="D550" s="9" t="n">
        <v>46245</v>
      </c>
      <c r="E550" s="10" t="s">
        <v>276</v>
      </c>
      <c r="F550" s="10" t="s">
        <v>21</v>
      </c>
      <c r="G550" s="10" t="s">
        <v>28</v>
      </c>
      <c r="H550" s="10" t="s">
        <v>198</v>
      </c>
      <c r="I550" s="11" t="s">
        <v>921</v>
      </c>
      <c r="J550" s="10" t="n">
        <f aca="false">IF(COUNTIFS($E$2:E550,E550,$A$2:A550,A550)=1,1,0)</f>
        <v>1</v>
      </c>
    </row>
    <row r="551" customFormat="false" ht="15" hidden="false" customHeight="false" outlineLevel="0" collapsed="false">
      <c r="A551" s="9" t="n">
        <v>46235</v>
      </c>
      <c r="B551" s="10" t="s">
        <v>919</v>
      </c>
      <c r="C551" s="10" t="s">
        <v>925</v>
      </c>
      <c r="D551" s="9" t="n">
        <v>46245</v>
      </c>
      <c r="E551" s="10" t="s">
        <v>14</v>
      </c>
      <c r="F551" s="10" t="s">
        <v>15</v>
      </c>
      <c r="G551" s="10" t="s">
        <v>16</v>
      </c>
      <c r="H551" s="10"/>
      <c r="I551" s="11" t="s">
        <v>921</v>
      </c>
      <c r="J551" s="10" t="n">
        <f aca="false">IF(COUNTIFS($E$2:E551,E551,$A$2:A551,A551)=1,1,0)</f>
        <v>0</v>
      </c>
    </row>
    <row r="552" customFormat="false" ht="15" hidden="false" customHeight="false" outlineLevel="0" collapsed="false">
      <c r="A552" s="9" t="n">
        <v>46235</v>
      </c>
      <c r="B552" s="10" t="s">
        <v>919</v>
      </c>
      <c r="C552" s="10" t="s">
        <v>926</v>
      </c>
      <c r="D552" s="9" t="n">
        <v>46245</v>
      </c>
      <c r="E552" s="10" t="s">
        <v>14</v>
      </c>
      <c r="F552" s="10" t="s">
        <v>15</v>
      </c>
      <c r="G552" s="10" t="s">
        <v>16</v>
      </c>
      <c r="H552" s="10"/>
      <c r="I552" s="11" t="s">
        <v>921</v>
      </c>
      <c r="J552" s="10" t="n">
        <f aca="false">IF(COUNTIFS($E$2:E552,E552,$A$2:A552,A552)=1,1,0)</f>
        <v>0</v>
      </c>
    </row>
    <row r="553" customFormat="false" ht="15" hidden="false" customHeight="false" outlineLevel="0" collapsed="false">
      <c r="A553" s="9" t="n">
        <v>46235</v>
      </c>
      <c r="B553" s="10" t="s">
        <v>919</v>
      </c>
      <c r="C553" s="10" t="s">
        <v>236</v>
      </c>
      <c r="D553" s="9" t="n">
        <v>46249</v>
      </c>
      <c r="E553" s="10" t="s">
        <v>235</v>
      </c>
      <c r="F553" s="10" t="s">
        <v>21</v>
      </c>
      <c r="G553" s="10" t="s">
        <v>39</v>
      </c>
      <c r="H553" s="10" t="s">
        <v>237</v>
      </c>
      <c r="I553" s="11" t="s">
        <v>921</v>
      </c>
      <c r="J553" s="10" t="n">
        <f aca="false">IF(COUNTIFS($E$2:E553,E553,$A$2:A553,A553)=1,1,0)</f>
        <v>1</v>
      </c>
    </row>
    <row r="554" customFormat="false" ht="15" hidden="false" customHeight="false" outlineLevel="0" collapsed="false">
      <c r="A554" s="9" t="n">
        <v>46235</v>
      </c>
      <c r="B554" s="10" t="s">
        <v>919</v>
      </c>
      <c r="C554" s="10" t="s">
        <v>343</v>
      </c>
      <c r="D554" s="9" t="n">
        <v>46249</v>
      </c>
      <c r="E554" s="10" t="s">
        <v>342</v>
      </c>
      <c r="F554" s="10" t="s">
        <v>107</v>
      </c>
      <c r="G554" s="10" t="s">
        <v>217</v>
      </c>
      <c r="H554" s="10"/>
      <c r="I554" s="11" t="s">
        <v>921</v>
      </c>
      <c r="J554" s="10" t="n">
        <f aca="false">IF(COUNTIFS($E$2:E554,E554,$A$2:A554,A554)=1,1,0)</f>
        <v>1</v>
      </c>
    </row>
    <row r="555" customFormat="false" ht="15" hidden="false" customHeight="false" outlineLevel="0" collapsed="false">
      <c r="A555" s="9" t="n">
        <v>46235</v>
      </c>
      <c r="B555" s="10" t="s">
        <v>919</v>
      </c>
      <c r="C555" s="10" t="s">
        <v>927</v>
      </c>
      <c r="D555" s="9" t="n">
        <v>46249</v>
      </c>
      <c r="E555" s="10" t="s">
        <v>53</v>
      </c>
      <c r="F555" s="10" t="s">
        <v>15</v>
      </c>
      <c r="G555" s="10" t="s">
        <v>54</v>
      </c>
      <c r="H555" s="10" t="s">
        <v>928</v>
      </c>
      <c r="I555" s="11" t="s">
        <v>921</v>
      </c>
      <c r="J555" s="10" t="n">
        <f aca="false">IF(COUNTIFS($E$2:E555,E555,$A$2:A555,A555)=1,1,0)</f>
        <v>0</v>
      </c>
    </row>
    <row r="556" customFormat="false" ht="15" hidden="false" customHeight="false" outlineLevel="0" collapsed="false">
      <c r="A556" s="9" t="n">
        <v>46235</v>
      </c>
      <c r="B556" s="10" t="s">
        <v>919</v>
      </c>
      <c r="C556" s="10" t="s">
        <v>274</v>
      </c>
      <c r="D556" s="9" t="n">
        <v>46250</v>
      </c>
      <c r="E556" s="10" t="s">
        <v>272</v>
      </c>
      <c r="F556" s="10" t="s">
        <v>15</v>
      </c>
      <c r="G556" s="10" t="s">
        <v>273</v>
      </c>
      <c r="H556" s="10" t="s">
        <v>275</v>
      </c>
      <c r="I556" s="11" t="s">
        <v>921</v>
      </c>
      <c r="J556" s="10" t="n">
        <f aca="false">IF(COUNTIFS($E$2:E556,E556,$A$2:A556,A556)=1,1,0)</f>
        <v>1</v>
      </c>
    </row>
    <row r="557" customFormat="false" ht="15" hidden="false" customHeight="false" outlineLevel="0" collapsed="false">
      <c r="A557" s="9" t="n">
        <v>46235</v>
      </c>
      <c r="B557" s="10" t="s">
        <v>919</v>
      </c>
      <c r="C557" s="10" t="s">
        <v>283</v>
      </c>
      <c r="D557" s="9" t="n">
        <v>46250</v>
      </c>
      <c r="E557" s="10" t="s">
        <v>281</v>
      </c>
      <c r="F557" s="10" t="s">
        <v>282</v>
      </c>
      <c r="G557" s="10" t="s">
        <v>16</v>
      </c>
      <c r="H557" s="10" t="s">
        <v>284</v>
      </c>
      <c r="I557" s="11" t="s">
        <v>921</v>
      </c>
      <c r="J557" s="10" t="n">
        <f aca="false">IF(COUNTIFS($E$2:E557,E557,$A$2:A557,A557)=1,1,0)</f>
        <v>1</v>
      </c>
    </row>
    <row r="558" customFormat="false" ht="15" hidden="false" customHeight="false" outlineLevel="0" collapsed="false">
      <c r="A558" s="9" t="n">
        <v>46235</v>
      </c>
      <c r="B558" s="10" t="s">
        <v>919</v>
      </c>
      <c r="C558" s="10" t="s">
        <v>83</v>
      </c>
      <c r="D558" s="9" t="n">
        <v>46253</v>
      </c>
      <c r="E558" s="10" t="s">
        <v>81</v>
      </c>
      <c r="F558" s="10" t="s">
        <v>15</v>
      </c>
      <c r="G558" s="10" t="s">
        <v>82</v>
      </c>
      <c r="H558" s="10" t="s">
        <v>84</v>
      </c>
      <c r="I558" s="11" t="s">
        <v>921</v>
      </c>
      <c r="J558" s="10" t="n">
        <f aca="false">IF(COUNTIFS($E$2:E558,E558,$A$2:A558,A558)=1,1,0)</f>
        <v>1</v>
      </c>
    </row>
    <row r="559" customFormat="false" ht="15" hidden="false" customHeight="false" outlineLevel="0" collapsed="false">
      <c r="A559" s="9" t="n">
        <v>46235</v>
      </c>
      <c r="B559" s="10" t="s">
        <v>919</v>
      </c>
      <c r="C559" s="10" t="s">
        <v>929</v>
      </c>
      <c r="D559" s="9" t="n">
        <v>46254</v>
      </c>
      <c r="E559" s="10" t="s">
        <v>26</v>
      </c>
      <c r="F559" s="10" t="s">
        <v>27</v>
      </c>
      <c r="G559" s="10" t="s">
        <v>28</v>
      </c>
      <c r="H559" s="10" t="s">
        <v>30</v>
      </c>
      <c r="I559" s="11" t="s">
        <v>921</v>
      </c>
      <c r="J559" s="10" t="n">
        <f aca="false">IF(COUNTIFS($E$2:E559,E559,$A$2:A559,A559)=1,1,0)</f>
        <v>0</v>
      </c>
    </row>
    <row r="560" customFormat="false" ht="15" hidden="false" customHeight="false" outlineLevel="0" collapsed="false">
      <c r="A560" s="9" t="n">
        <v>46235</v>
      </c>
      <c r="B560" s="10" t="s">
        <v>919</v>
      </c>
      <c r="C560" s="10" t="s">
        <v>930</v>
      </c>
      <c r="D560" s="9" t="n">
        <v>46254</v>
      </c>
      <c r="E560" s="10" t="s">
        <v>20</v>
      </c>
      <c r="F560" s="10" t="s">
        <v>21</v>
      </c>
      <c r="G560" s="10" t="s">
        <v>22</v>
      </c>
      <c r="H560" s="10" t="s">
        <v>24</v>
      </c>
      <c r="I560" s="11" t="s">
        <v>921</v>
      </c>
      <c r="J560" s="10" t="n">
        <f aca="false">IF(COUNTIFS($E$2:E560,E560,$A$2:A560,A560)=1,1,0)</f>
        <v>0</v>
      </c>
    </row>
    <row r="561" customFormat="false" ht="15" hidden="false" customHeight="false" outlineLevel="0" collapsed="false">
      <c r="A561" s="9" t="n">
        <v>46235</v>
      </c>
      <c r="B561" s="10" t="s">
        <v>919</v>
      </c>
      <c r="C561" s="10" t="s">
        <v>905</v>
      </c>
      <c r="D561" s="9" t="n">
        <v>46256</v>
      </c>
      <c r="E561" s="10" t="s">
        <v>38</v>
      </c>
      <c r="F561" s="10" t="s">
        <v>15</v>
      </c>
      <c r="G561" s="10" t="s">
        <v>39</v>
      </c>
      <c r="H561" s="10" t="s">
        <v>931</v>
      </c>
      <c r="I561" s="11" t="s">
        <v>921</v>
      </c>
      <c r="J561" s="10" t="n">
        <f aca="false">IF(COUNTIFS($E$2:E561,E561,$A$2:A561,A561)=1,1,0)</f>
        <v>1</v>
      </c>
    </row>
    <row r="562" customFormat="false" ht="15" hidden="false" customHeight="false" outlineLevel="0" collapsed="false">
      <c r="A562" s="9" t="n">
        <v>46235</v>
      </c>
      <c r="B562" s="10" t="s">
        <v>919</v>
      </c>
      <c r="C562" s="10" t="s">
        <v>932</v>
      </c>
      <c r="D562" s="9" t="n">
        <v>46258</v>
      </c>
      <c r="E562" s="10" t="s">
        <v>20</v>
      </c>
      <c r="F562" s="10" t="s">
        <v>21</v>
      </c>
      <c r="G562" s="10" t="s">
        <v>22</v>
      </c>
      <c r="H562" s="10" t="s">
        <v>24</v>
      </c>
      <c r="I562" s="11" t="s">
        <v>921</v>
      </c>
      <c r="J562" s="10" t="n">
        <f aca="false">IF(COUNTIFS($E$2:E562,E562,$A$2:A562,A562)=1,1,0)</f>
        <v>0</v>
      </c>
    </row>
    <row r="563" customFormat="false" ht="15" hidden="false" customHeight="false" outlineLevel="0" collapsed="false">
      <c r="A563" s="9" t="n">
        <v>46235</v>
      </c>
      <c r="B563" s="10" t="s">
        <v>919</v>
      </c>
      <c r="C563" s="10" t="s">
        <v>35</v>
      </c>
      <c r="D563" s="9" t="n">
        <v>46261</v>
      </c>
      <c r="E563" s="10" t="s">
        <v>32</v>
      </c>
      <c r="F563" s="10" t="s">
        <v>33</v>
      </c>
      <c r="G563" s="10" t="s">
        <v>34</v>
      </c>
      <c r="H563" s="10" t="s">
        <v>36</v>
      </c>
      <c r="I563" s="11" t="s">
        <v>921</v>
      </c>
      <c r="J563" s="10" t="n">
        <f aca="false">IF(COUNTIFS($E$2:E563,E563,$A$2:A563,A563)=1,1,0)</f>
        <v>1</v>
      </c>
    </row>
    <row r="564" customFormat="false" ht="15" hidden="false" customHeight="false" outlineLevel="0" collapsed="false">
      <c r="A564" s="9" t="n">
        <v>46235</v>
      </c>
      <c r="B564" s="10" t="s">
        <v>919</v>
      </c>
      <c r="C564" s="10" t="s">
        <v>29</v>
      </c>
      <c r="D564" s="9" t="n">
        <v>46262</v>
      </c>
      <c r="E564" s="10" t="s">
        <v>26</v>
      </c>
      <c r="F564" s="10" t="s">
        <v>27</v>
      </c>
      <c r="G564" s="10" t="s">
        <v>28</v>
      </c>
      <c r="H564" s="10" t="s">
        <v>670</v>
      </c>
      <c r="I564" s="11" t="s">
        <v>921</v>
      </c>
      <c r="J564" s="10" t="n">
        <f aca="false">IF(COUNTIFS($E$2:E564,E564,$A$2:A564,A564)=1,1,0)</f>
        <v>0</v>
      </c>
    </row>
    <row r="565" customFormat="false" ht="15" hidden="false" customHeight="false" outlineLevel="0" collapsed="false">
      <c r="A565" s="9" t="n">
        <v>46235</v>
      </c>
      <c r="B565" s="10" t="s">
        <v>919</v>
      </c>
      <c r="C565" s="10" t="s">
        <v>933</v>
      </c>
      <c r="D565" s="9" t="n">
        <v>46262</v>
      </c>
      <c r="E565" s="10" t="s">
        <v>14</v>
      </c>
      <c r="F565" s="10" t="s">
        <v>15</v>
      </c>
      <c r="G565" s="10" t="s">
        <v>16</v>
      </c>
      <c r="H565" s="10" t="s">
        <v>934</v>
      </c>
      <c r="I565" s="11" t="s">
        <v>921</v>
      </c>
      <c r="J565" s="10" t="n">
        <f aca="false">IF(COUNTIFS($E$2:E565,E565,$A$2:A565,A565)=1,1,0)</f>
        <v>0</v>
      </c>
    </row>
    <row r="566" customFormat="false" ht="15" hidden="false" customHeight="false" outlineLevel="0" collapsed="false">
      <c r="A566" s="9" t="n">
        <v>46235</v>
      </c>
      <c r="B566" s="10" t="s">
        <v>919</v>
      </c>
      <c r="C566" s="10" t="s">
        <v>103</v>
      </c>
      <c r="D566" s="9" t="n">
        <v>46263</v>
      </c>
      <c r="E566" s="10" t="s">
        <v>101</v>
      </c>
      <c r="F566" s="10" t="s">
        <v>21</v>
      </c>
      <c r="G566" s="10" t="s">
        <v>102</v>
      </c>
      <c r="H566" s="10" t="s">
        <v>104</v>
      </c>
      <c r="I566" s="11" t="s">
        <v>921</v>
      </c>
      <c r="J566" s="10" t="n">
        <f aca="false">IF(COUNTIFS($E$2:E566,E566,$A$2:A566,A566)=1,1,0)</f>
        <v>1</v>
      </c>
    </row>
    <row r="567" customFormat="false" ht="15" hidden="false" customHeight="false" outlineLevel="0" collapsed="false">
      <c r="A567" s="9" t="n">
        <v>46235</v>
      </c>
      <c r="B567" s="10" t="s">
        <v>919</v>
      </c>
      <c r="C567" s="10" t="s">
        <v>122</v>
      </c>
      <c r="D567" s="9" t="n">
        <v>46263</v>
      </c>
      <c r="E567" s="10" t="s">
        <v>120</v>
      </c>
      <c r="F567" s="10" t="s">
        <v>15</v>
      </c>
      <c r="G567" s="10" t="s">
        <v>121</v>
      </c>
      <c r="H567" s="10"/>
      <c r="I567" s="11" t="s">
        <v>921</v>
      </c>
      <c r="J567" s="10" t="n">
        <f aca="false">IF(COUNTIFS($E$2:E567,E567,$A$2:A567,A567)=1,1,0)</f>
        <v>1</v>
      </c>
    </row>
    <row r="568" customFormat="false" ht="15" hidden="false" customHeight="false" outlineLevel="0" collapsed="false">
      <c r="A568" s="9" t="n">
        <v>46235</v>
      </c>
      <c r="B568" s="10" t="s">
        <v>919</v>
      </c>
      <c r="C568" s="10" t="s">
        <v>935</v>
      </c>
      <c r="D568" s="9" t="n">
        <v>46264</v>
      </c>
      <c r="E568" s="10" t="s">
        <v>179</v>
      </c>
      <c r="F568" s="10" t="s">
        <v>177</v>
      </c>
      <c r="G568" s="10" t="s">
        <v>142</v>
      </c>
      <c r="H568" s="10" t="s">
        <v>936</v>
      </c>
      <c r="I568" s="11" t="s">
        <v>921</v>
      </c>
      <c r="J568" s="10" t="n">
        <f aca="false">IF(COUNTIFS($E$2:E568,E568,$A$2:A568,A568)=1,1,0)</f>
        <v>1</v>
      </c>
    </row>
    <row r="569" customFormat="false" ht="15" hidden="false" customHeight="false" outlineLevel="0" collapsed="false">
      <c r="A569" s="9" t="n">
        <v>46235</v>
      </c>
      <c r="B569" s="10" t="s">
        <v>919</v>
      </c>
      <c r="C569" s="10" t="s">
        <v>720</v>
      </c>
      <c r="D569" s="9" t="n">
        <v>46264</v>
      </c>
      <c r="E569" s="10" t="s">
        <v>14</v>
      </c>
      <c r="F569" s="10" t="s">
        <v>15</v>
      </c>
      <c r="G569" s="10" t="s">
        <v>16</v>
      </c>
      <c r="H569" s="10" t="s">
        <v>520</v>
      </c>
      <c r="I569" s="11" t="s">
        <v>921</v>
      </c>
      <c r="J569" s="10" t="n">
        <f aca="false">IF(COUNTIFS($E$2:E569,E569,$A$2:A569,A569)=1,1,0)</f>
        <v>0</v>
      </c>
    </row>
    <row r="570" customFormat="false" ht="15" hidden="false" customHeight="false" outlineLevel="0" collapsed="false">
      <c r="A570" s="9" t="n">
        <v>46235</v>
      </c>
      <c r="B570" s="10" t="s">
        <v>919</v>
      </c>
      <c r="C570" s="10" t="s">
        <v>937</v>
      </c>
      <c r="D570" s="9" t="n">
        <v>46277</v>
      </c>
      <c r="E570" s="10" t="s">
        <v>14</v>
      </c>
      <c r="F570" s="10" t="s">
        <v>15</v>
      </c>
      <c r="G570" s="10" t="s">
        <v>16</v>
      </c>
      <c r="H570" s="10" t="s">
        <v>938</v>
      </c>
      <c r="I570" s="11" t="s">
        <v>921</v>
      </c>
      <c r="J570" s="10" t="n">
        <f aca="false">IF(COUNTIFS($E$2:E570,E570,$A$2:A570,A570)=1,1,0)</f>
        <v>0</v>
      </c>
    </row>
    <row r="571" customFormat="false" ht="15" hidden="false" customHeight="false" outlineLevel="0" collapsed="false">
      <c r="A571" s="9" t="n">
        <v>46249</v>
      </c>
      <c r="B571" s="10" t="s">
        <v>939</v>
      </c>
      <c r="C571" s="10" t="s">
        <v>392</v>
      </c>
      <c r="D571" s="9" t="n">
        <v>46249</v>
      </c>
      <c r="E571" s="10" t="s">
        <v>391</v>
      </c>
      <c r="F571" s="10" t="s">
        <v>154</v>
      </c>
      <c r="G571" s="10" t="s">
        <v>117</v>
      </c>
      <c r="H571" s="10"/>
      <c r="I571" s="11" t="s">
        <v>940</v>
      </c>
      <c r="J571" s="10" t="n">
        <f aca="false">IF(COUNTIFS($E$2:E571,E571,$A$2:A571,A571)=1,1,0)</f>
        <v>1</v>
      </c>
    </row>
    <row r="572" customFormat="false" ht="15" hidden="false" customHeight="false" outlineLevel="0" collapsed="false">
      <c r="A572" s="9" t="n">
        <v>46249</v>
      </c>
      <c r="B572" s="10" t="s">
        <v>939</v>
      </c>
      <c r="C572" s="10" t="s">
        <v>236</v>
      </c>
      <c r="D572" s="9" t="n">
        <v>46249</v>
      </c>
      <c r="E572" s="10" t="s">
        <v>235</v>
      </c>
      <c r="F572" s="10" t="s">
        <v>21</v>
      </c>
      <c r="G572" s="10" t="s">
        <v>39</v>
      </c>
      <c r="H572" s="10" t="s">
        <v>237</v>
      </c>
      <c r="I572" s="11" t="s">
        <v>940</v>
      </c>
      <c r="J572" s="10" t="n">
        <f aca="false">IF(COUNTIFS($E$2:E572,E572,$A$2:A572,A572)=1,1,0)</f>
        <v>1</v>
      </c>
    </row>
    <row r="573" customFormat="false" ht="15" hidden="false" customHeight="false" outlineLevel="0" collapsed="false">
      <c r="A573" s="9" t="n">
        <v>46249</v>
      </c>
      <c r="B573" s="10" t="s">
        <v>939</v>
      </c>
      <c r="C573" s="10" t="s">
        <v>343</v>
      </c>
      <c r="D573" s="9" t="n">
        <v>46249</v>
      </c>
      <c r="E573" s="10" t="s">
        <v>342</v>
      </c>
      <c r="F573" s="10" t="s">
        <v>107</v>
      </c>
      <c r="G573" s="10" t="s">
        <v>217</v>
      </c>
      <c r="H573" s="10"/>
      <c r="I573" s="11" t="s">
        <v>940</v>
      </c>
      <c r="J573" s="10" t="n">
        <f aca="false">IF(COUNTIFS($E$2:E573,E573,$A$2:A573,A573)=1,1,0)</f>
        <v>1</v>
      </c>
    </row>
    <row r="574" customFormat="false" ht="15" hidden="false" customHeight="false" outlineLevel="0" collapsed="false">
      <c r="A574" s="9" t="n">
        <v>46249</v>
      </c>
      <c r="B574" s="10" t="s">
        <v>939</v>
      </c>
      <c r="C574" s="10" t="s">
        <v>927</v>
      </c>
      <c r="D574" s="9" t="n">
        <v>46249</v>
      </c>
      <c r="E574" s="10" t="s">
        <v>53</v>
      </c>
      <c r="F574" s="10" t="s">
        <v>15</v>
      </c>
      <c r="G574" s="10" t="s">
        <v>54</v>
      </c>
      <c r="H574" s="10" t="s">
        <v>928</v>
      </c>
      <c r="I574" s="11" t="s">
        <v>940</v>
      </c>
      <c r="J574" s="10" t="n">
        <f aca="false">IF(COUNTIFS($E$2:E574,E574,$A$2:A574,A574)=1,1,0)</f>
        <v>1</v>
      </c>
    </row>
    <row r="575" customFormat="false" ht="15" hidden="false" customHeight="false" outlineLevel="0" collapsed="false">
      <c r="A575" s="9" t="n">
        <v>46249</v>
      </c>
      <c r="B575" s="10" t="s">
        <v>939</v>
      </c>
      <c r="C575" s="10" t="s">
        <v>274</v>
      </c>
      <c r="D575" s="9" t="n">
        <v>46250</v>
      </c>
      <c r="E575" s="10" t="s">
        <v>272</v>
      </c>
      <c r="F575" s="10" t="s">
        <v>15</v>
      </c>
      <c r="G575" s="10" t="s">
        <v>273</v>
      </c>
      <c r="H575" s="10" t="s">
        <v>275</v>
      </c>
      <c r="I575" s="11" t="s">
        <v>940</v>
      </c>
      <c r="J575" s="10" t="n">
        <f aca="false">IF(COUNTIFS($E$2:E575,E575,$A$2:A575,A575)=1,1,0)</f>
        <v>1</v>
      </c>
    </row>
    <row r="576" customFormat="false" ht="15" hidden="false" customHeight="false" outlineLevel="0" collapsed="false">
      <c r="A576" s="9" t="n">
        <v>46249</v>
      </c>
      <c r="B576" s="10" t="s">
        <v>939</v>
      </c>
      <c r="C576" s="10" t="s">
        <v>283</v>
      </c>
      <c r="D576" s="9" t="n">
        <v>46250</v>
      </c>
      <c r="E576" s="10" t="s">
        <v>281</v>
      </c>
      <c r="F576" s="10" t="s">
        <v>282</v>
      </c>
      <c r="G576" s="10" t="s">
        <v>16</v>
      </c>
      <c r="H576" s="10" t="s">
        <v>284</v>
      </c>
      <c r="I576" s="11" t="s">
        <v>940</v>
      </c>
      <c r="J576" s="10" t="n">
        <f aca="false">IF(COUNTIFS($E$2:E576,E576,$A$2:A576,A576)=1,1,0)</f>
        <v>1</v>
      </c>
    </row>
    <row r="577" customFormat="false" ht="15" hidden="false" customHeight="false" outlineLevel="0" collapsed="false">
      <c r="A577" s="9" t="n">
        <v>46249</v>
      </c>
      <c r="B577" s="10" t="s">
        <v>939</v>
      </c>
      <c r="C577" s="10" t="s">
        <v>546</v>
      </c>
      <c r="D577" s="9" t="n">
        <v>46251</v>
      </c>
      <c r="E577" s="10" t="s">
        <v>544</v>
      </c>
      <c r="F577" s="10" t="s">
        <v>282</v>
      </c>
      <c r="G577" s="10" t="s">
        <v>545</v>
      </c>
      <c r="H577" s="10" t="s">
        <v>547</v>
      </c>
      <c r="I577" s="11" t="s">
        <v>940</v>
      </c>
      <c r="J577" s="10" t="n">
        <f aca="false">IF(COUNTIFS($E$2:E577,E577,$A$2:A577,A577)=1,1,0)</f>
        <v>1</v>
      </c>
    </row>
    <row r="578" customFormat="false" ht="15" hidden="false" customHeight="false" outlineLevel="0" collapsed="false">
      <c r="A578" s="9" t="n">
        <v>46249</v>
      </c>
      <c r="B578" s="10" t="s">
        <v>939</v>
      </c>
      <c r="C578" s="10" t="s">
        <v>83</v>
      </c>
      <c r="D578" s="9" t="n">
        <v>46253</v>
      </c>
      <c r="E578" s="10" t="s">
        <v>81</v>
      </c>
      <c r="F578" s="10" t="s">
        <v>15</v>
      </c>
      <c r="G578" s="10" t="s">
        <v>82</v>
      </c>
      <c r="H578" s="10" t="s">
        <v>84</v>
      </c>
      <c r="I578" s="11" t="s">
        <v>940</v>
      </c>
      <c r="J578" s="10" t="n">
        <f aca="false">IF(COUNTIFS($E$2:E578,E578,$A$2:A578,A578)=1,1,0)</f>
        <v>1</v>
      </c>
    </row>
    <row r="579" customFormat="false" ht="15" hidden="false" customHeight="false" outlineLevel="0" collapsed="false">
      <c r="A579" s="9" t="n">
        <v>46249</v>
      </c>
      <c r="B579" s="10" t="s">
        <v>939</v>
      </c>
      <c r="C579" s="10" t="s">
        <v>929</v>
      </c>
      <c r="D579" s="9" t="n">
        <v>46254</v>
      </c>
      <c r="E579" s="10" t="s">
        <v>26</v>
      </c>
      <c r="F579" s="10" t="s">
        <v>27</v>
      </c>
      <c r="G579" s="10" t="s">
        <v>28</v>
      </c>
      <c r="H579" s="10" t="s">
        <v>30</v>
      </c>
      <c r="I579" s="11" t="s">
        <v>940</v>
      </c>
      <c r="J579" s="10" t="n">
        <f aca="false">IF(COUNTIFS($E$2:E579,E579,$A$2:A579,A579)=1,1,0)</f>
        <v>1</v>
      </c>
    </row>
    <row r="580" customFormat="false" ht="15" hidden="false" customHeight="false" outlineLevel="0" collapsed="false">
      <c r="A580" s="9" t="n">
        <v>46249</v>
      </c>
      <c r="B580" s="10" t="s">
        <v>939</v>
      </c>
      <c r="C580" s="10" t="s">
        <v>930</v>
      </c>
      <c r="D580" s="9" t="n">
        <v>46254</v>
      </c>
      <c r="E580" s="10" t="s">
        <v>20</v>
      </c>
      <c r="F580" s="10" t="s">
        <v>21</v>
      </c>
      <c r="G580" s="10" t="s">
        <v>22</v>
      </c>
      <c r="H580" s="10" t="s">
        <v>24</v>
      </c>
      <c r="I580" s="11" t="s">
        <v>940</v>
      </c>
      <c r="J580" s="10" t="n">
        <f aca="false">IF(COUNTIFS($E$2:E580,E580,$A$2:A580,A580)=1,1,0)</f>
        <v>1</v>
      </c>
    </row>
    <row r="581" customFormat="false" ht="15" hidden="false" customHeight="false" outlineLevel="0" collapsed="false">
      <c r="A581" s="9" t="n">
        <v>46249</v>
      </c>
      <c r="B581" s="10" t="s">
        <v>939</v>
      </c>
      <c r="C581" s="10" t="s">
        <v>941</v>
      </c>
      <c r="D581" s="9" t="n">
        <v>46256</v>
      </c>
      <c r="E581" s="10" t="s">
        <v>76</v>
      </c>
      <c r="F581" s="10" t="s">
        <v>21</v>
      </c>
      <c r="G581" s="10" t="s">
        <v>77</v>
      </c>
      <c r="H581" s="10" t="s">
        <v>79</v>
      </c>
      <c r="I581" s="11" t="s">
        <v>940</v>
      </c>
      <c r="J581" s="10" t="n">
        <f aca="false">IF(COUNTIFS($E$2:E581,E581,$A$2:A581,A581)=1,1,0)</f>
        <v>1</v>
      </c>
    </row>
    <row r="582" customFormat="false" ht="15" hidden="false" customHeight="false" outlineLevel="0" collapsed="false">
      <c r="A582" s="9" t="n">
        <v>46249</v>
      </c>
      <c r="B582" s="10" t="s">
        <v>939</v>
      </c>
      <c r="C582" s="10" t="s">
        <v>905</v>
      </c>
      <c r="D582" s="9" t="n">
        <v>46256</v>
      </c>
      <c r="E582" s="10" t="s">
        <v>38</v>
      </c>
      <c r="F582" s="10" t="s">
        <v>15</v>
      </c>
      <c r="G582" s="10" t="s">
        <v>39</v>
      </c>
      <c r="H582" s="10" t="s">
        <v>931</v>
      </c>
      <c r="I582" s="11" t="s">
        <v>940</v>
      </c>
      <c r="J582" s="10" t="n">
        <f aca="false">IF(COUNTIFS($E$2:E582,E582,$A$2:A582,A582)=1,1,0)</f>
        <v>1</v>
      </c>
    </row>
    <row r="583" customFormat="false" ht="15" hidden="false" customHeight="false" outlineLevel="0" collapsed="false">
      <c r="A583" s="9" t="n">
        <v>46249</v>
      </c>
      <c r="B583" s="10" t="s">
        <v>939</v>
      </c>
      <c r="C583" s="10" t="s">
        <v>942</v>
      </c>
      <c r="D583" s="9" t="n">
        <v>46257</v>
      </c>
      <c r="E583" s="10" t="s">
        <v>76</v>
      </c>
      <c r="F583" s="10" t="s">
        <v>21</v>
      </c>
      <c r="G583" s="10" t="s">
        <v>77</v>
      </c>
      <c r="H583" s="10" t="s">
        <v>79</v>
      </c>
      <c r="I583" s="11" t="s">
        <v>940</v>
      </c>
      <c r="J583" s="10" t="n">
        <f aca="false">IF(COUNTIFS($E$2:E583,E583,$A$2:A583,A583)=1,1,0)</f>
        <v>0</v>
      </c>
    </row>
    <row r="584" customFormat="false" ht="15" hidden="false" customHeight="false" outlineLevel="0" collapsed="false">
      <c r="A584" s="9" t="n">
        <v>46249</v>
      </c>
      <c r="B584" s="10" t="s">
        <v>939</v>
      </c>
      <c r="C584" s="10" t="s">
        <v>932</v>
      </c>
      <c r="D584" s="9" t="n">
        <v>46258</v>
      </c>
      <c r="E584" s="10" t="s">
        <v>20</v>
      </c>
      <c r="F584" s="10" t="s">
        <v>21</v>
      </c>
      <c r="G584" s="10" t="s">
        <v>22</v>
      </c>
      <c r="H584" s="10" t="s">
        <v>24</v>
      </c>
      <c r="I584" s="11" t="s">
        <v>940</v>
      </c>
      <c r="J584" s="10" t="n">
        <f aca="false">IF(COUNTIFS($E$2:E584,E584,$A$2:A584,A584)=1,1,0)</f>
        <v>0</v>
      </c>
    </row>
    <row r="585" customFormat="false" ht="15" hidden="false" customHeight="false" outlineLevel="0" collapsed="false">
      <c r="A585" s="9" t="n">
        <v>46249</v>
      </c>
      <c r="B585" s="10" t="s">
        <v>939</v>
      </c>
      <c r="C585" s="10" t="s">
        <v>943</v>
      </c>
      <c r="D585" s="9" t="n">
        <v>46260</v>
      </c>
      <c r="E585" s="10" t="s">
        <v>62</v>
      </c>
      <c r="F585" s="10" t="s">
        <v>15</v>
      </c>
      <c r="G585" s="10" t="s">
        <v>63</v>
      </c>
      <c r="H585" s="10" t="s">
        <v>944</v>
      </c>
      <c r="I585" s="11" t="s">
        <v>940</v>
      </c>
      <c r="J585" s="10" t="n">
        <f aca="false">IF(COUNTIFS($E$2:E585,E585,$A$2:A585,A585)=1,1,0)</f>
        <v>1</v>
      </c>
    </row>
    <row r="586" customFormat="false" ht="15" hidden="false" customHeight="false" outlineLevel="0" collapsed="false">
      <c r="A586" s="9" t="n">
        <v>46249</v>
      </c>
      <c r="B586" s="10" t="s">
        <v>939</v>
      </c>
      <c r="C586" s="10" t="s">
        <v>945</v>
      </c>
      <c r="D586" s="9" t="n">
        <v>46261</v>
      </c>
      <c r="E586" s="10" t="s">
        <v>32</v>
      </c>
      <c r="F586" s="10" t="s">
        <v>33</v>
      </c>
      <c r="G586" s="10" t="s">
        <v>34</v>
      </c>
      <c r="H586" s="10"/>
      <c r="I586" s="11" t="s">
        <v>940</v>
      </c>
      <c r="J586" s="10" t="n">
        <f aca="false">IF(COUNTIFS($E$2:E586,E586,$A$2:A586,A586)=1,1,0)</f>
        <v>1</v>
      </c>
    </row>
    <row r="587" customFormat="false" ht="15" hidden="false" customHeight="false" outlineLevel="0" collapsed="false">
      <c r="A587" s="9" t="n">
        <v>46249</v>
      </c>
      <c r="B587" s="10" t="s">
        <v>939</v>
      </c>
      <c r="C587" s="10" t="s">
        <v>35</v>
      </c>
      <c r="D587" s="9" t="n">
        <v>46261</v>
      </c>
      <c r="E587" s="10" t="s">
        <v>32</v>
      </c>
      <c r="F587" s="10" t="s">
        <v>33</v>
      </c>
      <c r="G587" s="10" t="s">
        <v>34</v>
      </c>
      <c r="H587" s="10" t="s">
        <v>36</v>
      </c>
      <c r="I587" s="11" t="s">
        <v>940</v>
      </c>
      <c r="J587" s="10" t="n">
        <f aca="false">IF(COUNTIFS($E$2:E587,E587,$A$2:A587,A587)=1,1,0)</f>
        <v>0</v>
      </c>
    </row>
    <row r="588" customFormat="false" ht="15" hidden="false" customHeight="false" outlineLevel="0" collapsed="false">
      <c r="A588" s="9" t="n">
        <v>46249</v>
      </c>
      <c r="B588" s="10" t="s">
        <v>939</v>
      </c>
      <c r="C588" s="10" t="s">
        <v>29</v>
      </c>
      <c r="D588" s="9" t="n">
        <v>46262</v>
      </c>
      <c r="E588" s="10" t="s">
        <v>26</v>
      </c>
      <c r="F588" s="10" t="s">
        <v>27</v>
      </c>
      <c r="G588" s="10" t="s">
        <v>28</v>
      </c>
      <c r="H588" s="10" t="s">
        <v>670</v>
      </c>
      <c r="I588" s="11" t="s">
        <v>940</v>
      </c>
      <c r="J588" s="10" t="n">
        <f aca="false">IF(COUNTIFS($E$2:E588,E588,$A$2:A588,A588)=1,1,0)</f>
        <v>0</v>
      </c>
    </row>
    <row r="589" customFormat="false" ht="15" hidden="false" customHeight="false" outlineLevel="0" collapsed="false">
      <c r="A589" s="9" t="n">
        <v>46249</v>
      </c>
      <c r="B589" s="10" t="s">
        <v>939</v>
      </c>
      <c r="C589" s="10" t="s">
        <v>933</v>
      </c>
      <c r="D589" s="9" t="n">
        <v>46262</v>
      </c>
      <c r="E589" s="10" t="s">
        <v>14</v>
      </c>
      <c r="F589" s="10" t="s">
        <v>15</v>
      </c>
      <c r="G589" s="10" t="s">
        <v>16</v>
      </c>
      <c r="H589" s="10" t="s">
        <v>934</v>
      </c>
      <c r="I589" s="11" t="s">
        <v>940</v>
      </c>
      <c r="J589" s="10" t="n">
        <f aca="false">IF(COUNTIFS($E$2:E589,E589,$A$2:A589,A589)=1,1,0)</f>
        <v>1</v>
      </c>
    </row>
    <row r="590" customFormat="false" ht="15" hidden="false" customHeight="false" outlineLevel="0" collapsed="false">
      <c r="A590" s="9" t="n">
        <v>46249</v>
      </c>
      <c r="B590" s="10" t="s">
        <v>939</v>
      </c>
      <c r="C590" s="10" t="s">
        <v>103</v>
      </c>
      <c r="D590" s="9" t="n">
        <v>46263</v>
      </c>
      <c r="E590" s="10" t="s">
        <v>101</v>
      </c>
      <c r="F590" s="10" t="s">
        <v>21</v>
      </c>
      <c r="G590" s="10" t="s">
        <v>102</v>
      </c>
      <c r="H590" s="10" t="s">
        <v>104</v>
      </c>
      <c r="I590" s="11" t="s">
        <v>940</v>
      </c>
      <c r="J590" s="10" t="n">
        <f aca="false">IF(COUNTIFS($E$2:E590,E590,$A$2:A590,A590)=1,1,0)</f>
        <v>1</v>
      </c>
    </row>
    <row r="591" customFormat="false" ht="15" hidden="false" customHeight="false" outlineLevel="0" collapsed="false">
      <c r="A591" s="9" t="n">
        <v>46249</v>
      </c>
      <c r="B591" s="10" t="s">
        <v>939</v>
      </c>
      <c r="C591" s="10" t="s">
        <v>122</v>
      </c>
      <c r="D591" s="9" t="n">
        <v>46263</v>
      </c>
      <c r="E591" s="10" t="s">
        <v>120</v>
      </c>
      <c r="F591" s="10" t="s">
        <v>15</v>
      </c>
      <c r="G591" s="10" t="s">
        <v>121</v>
      </c>
      <c r="H591" s="10"/>
      <c r="I591" s="11" t="s">
        <v>940</v>
      </c>
      <c r="J591" s="10" t="n">
        <f aca="false">IF(COUNTIFS($E$2:E591,E591,$A$2:A591,A591)=1,1,0)</f>
        <v>1</v>
      </c>
    </row>
    <row r="592" customFormat="false" ht="15" hidden="false" customHeight="false" outlineLevel="0" collapsed="false">
      <c r="A592" s="9" t="n">
        <v>46249</v>
      </c>
      <c r="B592" s="10" t="s">
        <v>939</v>
      </c>
      <c r="C592" s="10" t="s">
        <v>408</v>
      </c>
      <c r="D592" s="9" t="n">
        <v>46264</v>
      </c>
      <c r="E592" s="10" t="s">
        <v>407</v>
      </c>
      <c r="F592" s="10" t="s">
        <v>15</v>
      </c>
      <c r="G592" s="10" t="s">
        <v>39</v>
      </c>
      <c r="H592" s="10"/>
      <c r="I592" s="11" t="s">
        <v>940</v>
      </c>
      <c r="J592" s="10" t="n">
        <f aca="false">IF(COUNTIFS($E$2:E592,E592,$A$2:A592,A592)=1,1,0)</f>
        <v>1</v>
      </c>
    </row>
    <row r="593" customFormat="false" ht="15" hidden="false" customHeight="false" outlineLevel="0" collapsed="false">
      <c r="A593" s="9" t="n">
        <v>46249</v>
      </c>
      <c r="B593" s="10" t="s">
        <v>939</v>
      </c>
      <c r="C593" s="10" t="s">
        <v>935</v>
      </c>
      <c r="D593" s="9" t="n">
        <v>46264</v>
      </c>
      <c r="E593" s="10" t="s">
        <v>179</v>
      </c>
      <c r="F593" s="10" t="s">
        <v>177</v>
      </c>
      <c r="G593" s="10" t="s">
        <v>142</v>
      </c>
      <c r="H593" s="10" t="s">
        <v>936</v>
      </c>
      <c r="I593" s="11" t="s">
        <v>940</v>
      </c>
      <c r="J593" s="10" t="n">
        <f aca="false">IF(COUNTIFS($E$2:E593,E593,$A$2:A593,A593)=1,1,0)</f>
        <v>1</v>
      </c>
    </row>
    <row r="594" customFormat="false" ht="15" hidden="false" customHeight="false" outlineLevel="0" collapsed="false">
      <c r="A594" s="9" t="n">
        <v>46249</v>
      </c>
      <c r="B594" s="10" t="s">
        <v>939</v>
      </c>
      <c r="C594" s="10" t="s">
        <v>720</v>
      </c>
      <c r="D594" s="9" t="n">
        <v>46264</v>
      </c>
      <c r="E594" s="10" t="s">
        <v>14</v>
      </c>
      <c r="F594" s="10" t="s">
        <v>15</v>
      </c>
      <c r="G594" s="10" t="s">
        <v>16</v>
      </c>
      <c r="H594" s="10" t="s">
        <v>520</v>
      </c>
      <c r="I594" s="11" t="s">
        <v>940</v>
      </c>
      <c r="J594" s="10" t="n">
        <f aca="false">IF(COUNTIFS($E$2:E594,E594,$A$2:A594,A594)=1,1,0)</f>
        <v>0</v>
      </c>
    </row>
    <row r="595" customFormat="false" ht="15" hidden="false" customHeight="false" outlineLevel="0" collapsed="false">
      <c r="A595" s="9" t="n">
        <v>46249</v>
      </c>
      <c r="B595" s="10" t="s">
        <v>939</v>
      </c>
      <c r="C595" s="10" t="s">
        <v>126</v>
      </c>
      <c r="D595" s="9" t="n">
        <v>46267</v>
      </c>
      <c r="E595" s="10" t="s">
        <v>125</v>
      </c>
      <c r="F595" s="10" t="s">
        <v>107</v>
      </c>
      <c r="G595" s="10" t="s">
        <v>39</v>
      </c>
      <c r="H595" s="10"/>
      <c r="I595" s="11" t="s">
        <v>940</v>
      </c>
      <c r="J595" s="10" t="n">
        <f aca="false">IF(COUNTIFS($E$2:E595,E595,$A$2:A595,A595)=1,1,0)</f>
        <v>1</v>
      </c>
    </row>
    <row r="596" customFormat="false" ht="15" hidden="false" customHeight="false" outlineLevel="0" collapsed="false">
      <c r="A596" s="9" t="n">
        <v>46249</v>
      </c>
      <c r="B596" s="10" t="s">
        <v>939</v>
      </c>
      <c r="C596" s="10" t="s">
        <v>946</v>
      </c>
      <c r="D596" s="9" t="n">
        <v>46275</v>
      </c>
      <c r="E596" s="10" t="s">
        <v>62</v>
      </c>
      <c r="F596" s="10" t="s">
        <v>15</v>
      </c>
      <c r="G596" s="10" t="s">
        <v>63</v>
      </c>
      <c r="H596" s="10"/>
      <c r="I596" s="11" t="s">
        <v>940</v>
      </c>
      <c r="J596" s="10" t="n">
        <f aca="false">IF(COUNTIFS($E$2:E596,E596,$A$2:A596,A596)=1,1,0)</f>
        <v>0</v>
      </c>
    </row>
    <row r="597" customFormat="false" ht="15" hidden="false" customHeight="false" outlineLevel="0" collapsed="false">
      <c r="A597" s="9" t="n">
        <v>46249</v>
      </c>
      <c r="B597" s="10" t="s">
        <v>939</v>
      </c>
      <c r="C597" s="10" t="s">
        <v>228</v>
      </c>
      <c r="D597" s="9" t="n">
        <v>46275</v>
      </c>
      <c r="E597" s="10" t="s">
        <v>227</v>
      </c>
      <c r="F597" s="10" t="s">
        <v>87</v>
      </c>
      <c r="G597" s="10" t="s">
        <v>54</v>
      </c>
      <c r="H597" s="10" t="s">
        <v>229</v>
      </c>
      <c r="I597" s="11" t="s">
        <v>940</v>
      </c>
      <c r="J597" s="10" t="n">
        <f aca="false">IF(COUNTIFS($E$2:E597,E597,$A$2:A597,A597)=1,1,0)</f>
        <v>1</v>
      </c>
    </row>
    <row r="598" customFormat="false" ht="15" hidden="false" customHeight="false" outlineLevel="0" collapsed="false">
      <c r="A598" s="9" t="n">
        <v>46249</v>
      </c>
      <c r="B598" s="10" t="s">
        <v>939</v>
      </c>
      <c r="C598" s="10" t="s">
        <v>937</v>
      </c>
      <c r="D598" s="9" t="n">
        <v>46277</v>
      </c>
      <c r="E598" s="10" t="s">
        <v>14</v>
      </c>
      <c r="F598" s="10" t="s">
        <v>15</v>
      </c>
      <c r="G598" s="10" t="s">
        <v>16</v>
      </c>
      <c r="H598" s="10" t="s">
        <v>938</v>
      </c>
      <c r="I598" s="11" t="s">
        <v>940</v>
      </c>
      <c r="J598" s="10" t="n">
        <f aca="false">IF(COUNTIFS($E$2:E598,E598,$A$2:A598,A598)=1,1,0)</f>
        <v>0</v>
      </c>
    </row>
    <row r="599" customFormat="false" ht="15" hidden="false" customHeight="false" outlineLevel="0" collapsed="false">
      <c r="A599" s="9" t="n">
        <v>46266</v>
      </c>
      <c r="B599" s="10" t="s">
        <v>947</v>
      </c>
      <c r="C599" s="10" t="s">
        <v>948</v>
      </c>
      <c r="D599" s="9" t="n">
        <v>46271</v>
      </c>
      <c r="E599" s="10" t="s">
        <v>76</v>
      </c>
      <c r="F599" s="10" t="s">
        <v>21</v>
      </c>
      <c r="G599" s="10" t="s">
        <v>77</v>
      </c>
      <c r="H599" s="10" t="s">
        <v>79</v>
      </c>
      <c r="I599" s="11" t="s">
        <v>949</v>
      </c>
      <c r="J599" s="10" t="n">
        <f aca="false">IF(COUNTIFS($E$2:E599,E599,$A$2:A599,A599)=1,1,0)</f>
        <v>1</v>
      </c>
    </row>
    <row r="600" customFormat="false" ht="15" hidden="false" customHeight="false" outlineLevel="0" collapsed="false">
      <c r="A600" s="9" t="n">
        <v>46266</v>
      </c>
      <c r="B600" s="10" t="s">
        <v>947</v>
      </c>
      <c r="C600" s="10" t="s">
        <v>375</v>
      </c>
      <c r="D600" s="9" t="n">
        <v>46273</v>
      </c>
      <c r="E600" s="10" t="s">
        <v>373</v>
      </c>
      <c r="F600" s="10" t="s">
        <v>15</v>
      </c>
      <c r="G600" s="10" t="s">
        <v>374</v>
      </c>
      <c r="H600" s="10"/>
      <c r="I600" s="11" t="s">
        <v>949</v>
      </c>
      <c r="J600" s="10" t="n">
        <f aca="false">IF(COUNTIFS($E$2:E600,E600,$A$2:A600,A600)=1,1,0)</f>
        <v>1</v>
      </c>
    </row>
    <row r="601" customFormat="false" ht="15" hidden="false" customHeight="false" outlineLevel="0" collapsed="false">
      <c r="A601" s="9" t="n">
        <v>46266</v>
      </c>
      <c r="B601" s="10" t="s">
        <v>947</v>
      </c>
      <c r="C601" s="10" t="s">
        <v>950</v>
      </c>
      <c r="D601" s="9" t="n">
        <v>46274</v>
      </c>
      <c r="E601" s="10" t="s">
        <v>38</v>
      </c>
      <c r="F601" s="10" t="s">
        <v>15</v>
      </c>
      <c r="G601" s="10" t="s">
        <v>39</v>
      </c>
      <c r="H601" s="10"/>
      <c r="I601" s="11" t="s">
        <v>949</v>
      </c>
      <c r="J601" s="10" t="n">
        <f aca="false">IF(COUNTIFS($E$2:E601,E601,$A$2:A601,A601)=1,1,0)</f>
        <v>1</v>
      </c>
    </row>
    <row r="602" customFormat="false" ht="15" hidden="false" customHeight="false" outlineLevel="0" collapsed="false">
      <c r="A602" s="9" t="n">
        <v>46266</v>
      </c>
      <c r="B602" s="10" t="s">
        <v>947</v>
      </c>
      <c r="C602" s="10" t="s">
        <v>946</v>
      </c>
      <c r="D602" s="9" t="n">
        <v>46275</v>
      </c>
      <c r="E602" s="10" t="s">
        <v>62</v>
      </c>
      <c r="F602" s="10" t="s">
        <v>15</v>
      </c>
      <c r="G602" s="10" t="s">
        <v>63</v>
      </c>
      <c r="H602" s="10"/>
      <c r="I602" s="11" t="s">
        <v>949</v>
      </c>
      <c r="J602" s="10" t="n">
        <f aca="false">IF(COUNTIFS($E$2:E602,E602,$A$2:A602,A602)=1,1,0)</f>
        <v>1</v>
      </c>
    </row>
    <row r="603" customFormat="false" ht="15" hidden="false" customHeight="false" outlineLevel="0" collapsed="false">
      <c r="A603" s="9" t="n">
        <v>46266</v>
      </c>
      <c r="B603" s="10" t="s">
        <v>947</v>
      </c>
      <c r="C603" s="10" t="s">
        <v>228</v>
      </c>
      <c r="D603" s="9" t="n">
        <v>46275</v>
      </c>
      <c r="E603" s="10" t="s">
        <v>227</v>
      </c>
      <c r="F603" s="10" t="s">
        <v>87</v>
      </c>
      <c r="G603" s="10" t="s">
        <v>54</v>
      </c>
      <c r="H603" s="10" t="s">
        <v>229</v>
      </c>
      <c r="I603" s="11" t="s">
        <v>949</v>
      </c>
      <c r="J603" s="10" t="n">
        <f aca="false">IF(COUNTIFS($E$2:E603,E603,$A$2:A603,A603)=1,1,0)</f>
        <v>1</v>
      </c>
    </row>
    <row r="604" customFormat="false" ht="15" hidden="false" customHeight="false" outlineLevel="0" collapsed="false">
      <c r="A604" s="9" t="n">
        <v>46266</v>
      </c>
      <c r="B604" s="10" t="s">
        <v>947</v>
      </c>
      <c r="C604" s="10" t="s">
        <v>937</v>
      </c>
      <c r="D604" s="9" t="n">
        <v>46277</v>
      </c>
      <c r="E604" s="10" t="s">
        <v>14</v>
      </c>
      <c r="F604" s="10" t="s">
        <v>15</v>
      </c>
      <c r="G604" s="10" t="s">
        <v>16</v>
      </c>
      <c r="H604" s="10" t="s">
        <v>938</v>
      </c>
      <c r="I604" s="11" t="s">
        <v>949</v>
      </c>
      <c r="J604" s="10" t="n">
        <f aca="false">IF(COUNTIFS($E$2:E604,E604,$A$2:A604,A604)=1,1,0)</f>
        <v>1</v>
      </c>
    </row>
    <row r="605" customFormat="false" ht="15" hidden="false" customHeight="false" outlineLevel="0" collapsed="false">
      <c r="A605" s="9" t="n">
        <v>46266</v>
      </c>
      <c r="B605" s="10" t="s">
        <v>947</v>
      </c>
      <c r="C605" s="10" t="s">
        <v>249</v>
      </c>
      <c r="D605" s="9" t="n">
        <v>46277</v>
      </c>
      <c r="E605" s="10" t="s">
        <v>247</v>
      </c>
      <c r="F605" s="10" t="s">
        <v>33</v>
      </c>
      <c r="G605" s="10" t="s">
        <v>248</v>
      </c>
      <c r="H605" s="10" t="s">
        <v>951</v>
      </c>
      <c r="I605" s="11" t="s">
        <v>949</v>
      </c>
      <c r="J605" s="10" t="n">
        <f aca="false">IF(COUNTIFS($E$2:E605,E605,$A$2:A605,A605)=1,1,0)</f>
        <v>1</v>
      </c>
    </row>
    <row r="606" customFormat="false" ht="15" hidden="false" customHeight="false" outlineLevel="0" collapsed="false">
      <c r="A606" s="9" t="n">
        <v>46266</v>
      </c>
      <c r="B606" s="10" t="s">
        <v>947</v>
      </c>
      <c r="C606" s="10" t="s">
        <v>952</v>
      </c>
      <c r="D606" s="9" t="n">
        <v>46278</v>
      </c>
      <c r="E606" s="10" t="s">
        <v>76</v>
      </c>
      <c r="F606" s="10" t="s">
        <v>21</v>
      </c>
      <c r="G606" s="10" t="s">
        <v>77</v>
      </c>
      <c r="H606" s="10" t="s">
        <v>79</v>
      </c>
      <c r="I606" s="11" t="s">
        <v>949</v>
      </c>
      <c r="J606" s="10" t="n">
        <f aca="false">IF(COUNTIFS($E$2:E606,E606,$A$2:A606,A606)=1,1,0)</f>
        <v>0</v>
      </c>
    </row>
    <row r="607" customFormat="false" ht="15" hidden="false" customHeight="false" outlineLevel="0" collapsed="false">
      <c r="A607" s="9" t="n">
        <v>46266</v>
      </c>
      <c r="B607" s="10" t="s">
        <v>947</v>
      </c>
      <c r="C607" s="10" t="s">
        <v>305</v>
      </c>
      <c r="D607" s="9" t="n">
        <v>46278</v>
      </c>
      <c r="E607" s="10" t="s">
        <v>313</v>
      </c>
      <c r="F607" s="10" t="s">
        <v>15</v>
      </c>
      <c r="G607" s="10" t="s">
        <v>142</v>
      </c>
      <c r="H607" s="10" t="s">
        <v>305</v>
      </c>
      <c r="I607" s="11" t="s">
        <v>949</v>
      </c>
      <c r="J607" s="10" t="n">
        <f aca="false">IF(COUNTIFS($E$2:E607,E607,$A$2:A607,A607)=1,1,0)</f>
        <v>1</v>
      </c>
    </row>
    <row r="608" customFormat="false" ht="15" hidden="false" customHeight="false" outlineLevel="0" collapsed="false">
      <c r="A608" s="9" t="n">
        <v>46266</v>
      </c>
      <c r="B608" s="10" t="s">
        <v>947</v>
      </c>
      <c r="C608" s="10" t="s">
        <v>118</v>
      </c>
      <c r="D608" s="9" t="n">
        <v>46278</v>
      </c>
      <c r="E608" s="10" t="s">
        <v>116</v>
      </c>
      <c r="F608" s="10" t="s">
        <v>21</v>
      </c>
      <c r="G608" s="10" t="s">
        <v>117</v>
      </c>
      <c r="H608" s="10" t="s">
        <v>116</v>
      </c>
      <c r="I608" s="11" t="s">
        <v>949</v>
      </c>
      <c r="J608" s="10" t="n">
        <f aca="false">IF(COUNTIFS($E$2:E608,E608,$A$2:A608,A608)=1,1,0)</f>
        <v>1</v>
      </c>
    </row>
    <row r="609" customFormat="false" ht="15" hidden="false" customHeight="false" outlineLevel="0" collapsed="false">
      <c r="A609" s="9" t="n">
        <v>46266</v>
      </c>
      <c r="B609" s="10" t="s">
        <v>947</v>
      </c>
      <c r="C609" s="10" t="s">
        <v>891</v>
      </c>
      <c r="D609" s="9" t="n">
        <v>46278</v>
      </c>
      <c r="E609" s="10" t="s">
        <v>116</v>
      </c>
      <c r="F609" s="10" t="s">
        <v>21</v>
      </c>
      <c r="G609" s="10" t="s">
        <v>117</v>
      </c>
      <c r="H609" s="10" t="s">
        <v>116</v>
      </c>
      <c r="I609" s="11" t="s">
        <v>949</v>
      </c>
      <c r="J609" s="10" t="n">
        <f aca="false">IF(COUNTIFS($E$2:E609,E609,$A$2:A609,A609)=1,1,0)</f>
        <v>0</v>
      </c>
    </row>
    <row r="610" customFormat="false" ht="15" hidden="false" customHeight="false" outlineLevel="0" collapsed="false">
      <c r="A610" s="9" t="n">
        <v>46266</v>
      </c>
      <c r="B610" s="10" t="s">
        <v>947</v>
      </c>
      <c r="C610" s="10" t="s">
        <v>307</v>
      </c>
      <c r="D610" s="9" t="n">
        <v>46279</v>
      </c>
      <c r="E610" s="10" t="s">
        <v>337</v>
      </c>
      <c r="F610" s="10" t="s">
        <v>177</v>
      </c>
      <c r="G610" s="10" t="s">
        <v>338</v>
      </c>
      <c r="H610" s="10" t="s">
        <v>202</v>
      </c>
      <c r="I610" s="11" t="s">
        <v>949</v>
      </c>
      <c r="J610" s="10" t="n">
        <f aca="false">IF(COUNTIFS($E$2:E610,E610,$A$2:A610,A610)=1,1,0)</f>
        <v>1</v>
      </c>
    </row>
    <row r="611" customFormat="false" ht="15" hidden="false" customHeight="false" outlineLevel="0" collapsed="false">
      <c r="A611" s="9" t="n">
        <v>46266</v>
      </c>
      <c r="B611" s="10" t="s">
        <v>947</v>
      </c>
      <c r="C611" s="10" t="s">
        <v>953</v>
      </c>
      <c r="D611" s="9" t="n">
        <v>46280</v>
      </c>
      <c r="E611" s="10" t="s">
        <v>14</v>
      </c>
      <c r="F611" s="10" t="s">
        <v>15</v>
      </c>
      <c r="G611" s="10" t="s">
        <v>16</v>
      </c>
      <c r="H611" s="10"/>
      <c r="I611" s="11" t="s">
        <v>949</v>
      </c>
      <c r="J611" s="10" t="n">
        <f aca="false">IF(COUNTIFS($E$2:E611,E611,$A$2:A611,A611)=1,1,0)</f>
        <v>0</v>
      </c>
    </row>
    <row r="612" customFormat="false" ht="15" hidden="false" customHeight="false" outlineLevel="0" collapsed="false">
      <c r="A612" s="9" t="n">
        <v>46266</v>
      </c>
      <c r="B612" s="10" t="s">
        <v>947</v>
      </c>
      <c r="C612" s="10" t="s">
        <v>126</v>
      </c>
      <c r="D612" s="9" t="n">
        <v>46281</v>
      </c>
      <c r="E612" s="10" t="s">
        <v>125</v>
      </c>
      <c r="F612" s="10" t="s">
        <v>107</v>
      </c>
      <c r="G612" s="10" t="s">
        <v>39</v>
      </c>
      <c r="H612" s="10"/>
      <c r="I612" s="11" t="s">
        <v>949</v>
      </c>
      <c r="J612" s="10" t="n">
        <f aca="false">IF(COUNTIFS($E$2:E612,E612,$A$2:A612,A612)=1,1,0)</f>
        <v>1</v>
      </c>
    </row>
    <row r="613" customFormat="false" ht="15" hidden="false" customHeight="false" outlineLevel="0" collapsed="false">
      <c r="A613" s="9" t="n">
        <v>46266</v>
      </c>
      <c r="B613" s="10" t="s">
        <v>947</v>
      </c>
      <c r="C613" s="10" t="s">
        <v>829</v>
      </c>
      <c r="D613" s="9" t="n">
        <v>46281</v>
      </c>
      <c r="E613" s="10" t="s">
        <v>14</v>
      </c>
      <c r="F613" s="10" t="s">
        <v>15</v>
      </c>
      <c r="G613" s="10" t="s">
        <v>16</v>
      </c>
      <c r="H613" s="10" t="s">
        <v>41</v>
      </c>
      <c r="I613" s="11" t="s">
        <v>949</v>
      </c>
      <c r="J613" s="10" t="n">
        <f aca="false">IF(COUNTIFS($E$2:E613,E613,$A$2:A613,A613)=1,1,0)</f>
        <v>0</v>
      </c>
    </row>
    <row r="614" customFormat="false" ht="15" hidden="false" customHeight="false" outlineLevel="0" collapsed="false">
      <c r="A614" s="9" t="n">
        <v>46266</v>
      </c>
      <c r="B614" s="10" t="s">
        <v>947</v>
      </c>
      <c r="C614" s="10" t="s">
        <v>649</v>
      </c>
      <c r="D614" s="9" t="n">
        <v>46281</v>
      </c>
      <c r="E614" s="10" t="s">
        <v>66</v>
      </c>
      <c r="F614" s="10" t="s">
        <v>33</v>
      </c>
      <c r="G614" s="10" t="s">
        <v>67</v>
      </c>
      <c r="H614" s="10" t="s">
        <v>69</v>
      </c>
      <c r="I614" s="11" t="s">
        <v>949</v>
      </c>
      <c r="J614" s="10" t="n">
        <f aca="false">IF(COUNTIFS($E$2:E614,E614,$A$2:A614,A614)=1,1,0)</f>
        <v>1</v>
      </c>
    </row>
    <row r="615" customFormat="false" ht="15" hidden="false" customHeight="false" outlineLevel="0" collapsed="false">
      <c r="A615" s="9" t="n">
        <v>46266</v>
      </c>
      <c r="B615" s="10" t="s">
        <v>947</v>
      </c>
      <c r="C615" s="10" t="s">
        <v>905</v>
      </c>
      <c r="D615" s="9" t="n">
        <v>46282</v>
      </c>
      <c r="E615" s="10" t="s">
        <v>38</v>
      </c>
      <c r="F615" s="10" t="s">
        <v>15</v>
      </c>
      <c r="G615" s="10" t="s">
        <v>39</v>
      </c>
      <c r="H615" s="10" t="s">
        <v>931</v>
      </c>
      <c r="I615" s="11" t="s">
        <v>949</v>
      </c>
      <c r="J615" s="10" t="n">
        <f aca="false">IF(COUNTIFS($E$2:E615,E615,$A$2:A615,A615)=1,1,0)</f>
        <v>0</v>
      </c>
    </row>
    <row r="616" customFormat="false" ht="15" hidden="false" customHeight="false" outlineLevel="0" collapsed="false">
      <c r="A616" s="9" t="n">
        <v>46266</v>
      </c>
      <c r="B616" s="10" t="s">
        <v>947</v>
      </c>
      <c r="C616" s="10" t="s">
        <v>954</v>
      </c>
      <c r="D616" s="9" t="n">
        <v>46282</v>
      </c>
      <c r="E616" s="10" t="s">
        <v>26</v>
      </c>
      <c r="F616" s="10" t="s">
        <v>27</v>
      </c>
      <c r="G616" s="10" t="s">
        <v>28</v>
      </c>
      <c r="H616" s="10" t="s">
        <v>30</v>
      </c>
      <c r="I616" s="11" t="s">
        <v>949</v>
      </c>
      <c r="J616" s="10" t="n">
        <f aca="false">IF(COUNTIFS($E$2:E616,E616,$A$2:A616,A616)=1,1,0)</f>
        <v>1</v>
      </c>
    </row>
    <row r="617" customFormat="false" ht="15" hidden="false" customHeight="false" outlineLevel="0" collapsed="false">
      <c r="A617" s="9" t="n">
        <v>46266</v>
      </c>
      <c r="B617" s="10" t="s">
        <v>947</v>
      </c>
      <c r="C617" s="10" t="s">
        <v>180</v>
      </c>
      <c r="D617" s="9" t="n">
        <v>46283</v>
      </c>
      <c r="E617" s="10" t="s">
        <v>179</v>
      </c>
      <c r="F617" s="10" t="s">
        <v>177</v>
      </c>
      <c r="G617" s="10" t="s">
        <v>142</v>
      </c>
      <c r="H617" s="10" t="s">
        <v>127</v>
      </c>
      <c r="I617" s="11" t="s">
        <v>949</v>
      </c>
      <c r="J617" s="10" t="n">
        <f aca="false">IF(COUNTIFS($E$2:E617,E617,$A$2:A617,A617)=1,1,0)</f>
        <v>1</v>
      </c>
    </row>
    <row r="618" customFormat="false" ht="15" hidden="false" customHeight="false" outlineLevel="0" collapsed="false">
      <c r="A618" s="9" t="n">
        <v>46266</v>
      </c>
      <c r="B618" s="10" t="s">
        <v>947</v>
      </c>
      <c r="C618" s="10" t="s">
        <v>73</v>
      </c>
      <c r="D618" s="9" t="n">
        <v>46284</v>
      </c>
      <c r="E618" s="10" t="s">
        <v>71</v>
      </c>
      <c r="F618" s="10" t="s">
        <v>27</v>
      </c>
      <c r="G618" s="10" t="s">
        <v>72</v>
      </c>
      <c r="H618" s="10" t="s">
        <v>341</v>
      </c>
      <c r="I618" s="11" t="s">
        <v>949</v>
      </c>
      <c r="J618" s="10" t="n">
        <f aca="false">IF(COUNTIFS($E$2:E618,E618,$A$2:A618,A618)=1,1,0)</f>
        <v>1</v>
      </c>
    </row>
    <row r="619" customFormat="false" ht="15" hidden="false" customHeight="false" outlineLevel="0" collapsed="false">
      <c r="A619" s="9" t="n">
        <v>46266</v>
      </c>
      <c r="B619" s="10" t="s">
        <v>947</v>
      </c>
      <c r="C619" s="10" t="s">
        <v>911</v>
      </c>
      <c r="D619" s="9" t="n">
        <v>46284</v>
      </c>
      <c r="E619" s="10" t="s">
        <v>172</v>
      </c>
      <c r="F619" s="10" t="s">
        <v>15</v>
      </c>
      <c r="G619" s="10" t="s">
        <v>173</v>
      </c>
      <c r="H619" s="10" t="s">
        <v>175</v>
      </c>
      <c r="I619" s="11" t="s">
        <v>949</v>
      </c>
      <c r="J619" s="10" t="n">
        <f aca="false">IF(COUNTIFS($E$2:E619,E619,$A$2:A619,A619)=1,1,0)</f>
        <v>1</v>
      </c>
    </row>
    <row r="620" customFormat="false" ht="15" hidden="false" customHeight="false" outlineLevel="0" collapsed="false">
      <c r="A620" s="9" t="n">
        <v>46266</v>
      </c>
      <c r="B620" s="10" t="s">
        <v>947</v>
      </c>
      <c r="C620" s="10" t="s">
        <v>316</v>
      </c>
      <c r="D620" s="9" t="n">
        <v>46284</v>
      </c>
      <c r="E620" s="10" t="s">
        <v>315</v>
      </c>
      <c r="F620" s="10" t="s">
        <v>282</v>
      </c>
      <c r="G620" s="10" t="s">
        <v>142</v>
      </c>
      <c r="H620" s="10" t="s">
        <v>317</v>
      </c>
      <c r="I620" s="11" t="s">
        <v>949</v>
      </c>
      <c r="J620" s="10" t="n">
        <f aca="false">IF(COUNTIFS($E$2:E620,E620,$A$2:A620,A620)=1,1,0)</f>
        <v>1</v>
      </c>
    </row>
    <row r="621" customFormat="false" ht="15" hidden="false" customHeight="false" outlineLevel="0" collapsed="false">
      <c r="A621" s="9" t="n">
        <v>46266</v>
      </c>
      <c r="B621" s="10" t="s">
        <v>947</v>
      </c>
      <c r="C621" s="10" t="s">
        <v>955</v>
      </c>
      <c r="D621" s="9" t="n">
        <v>46284</v>
      </c>
      <c r="E621" s="10" t="s">
        <v>20</v>
      </c>
      <c r="F621" s="10" t="s">
        <v>21</v>
      </c>
      <c r="G621" s="10" t="s">
        <v>22</v>
      </c>
      <c r="H621" s="10" t="s">
        <v>24</v>
      </c>
      <c r="I621" s="11" t="s">
        <v>949</v>
      </c>
      <c r="J621" s="10" t="n">
        <f aca="false">IF(COUNTIFS($E$2:E621,E621,$A$2:A621,A621)=1,1,0)</f>
        <v>1</v>
      </c>
    </row>
    <row r="622" customFormat="false" ht="15" hidden="false" customHeight="false" outlineLevel="0" collapsed="false">
      <c r="A622" s="9" t="n">
        <v>46266</v>
      </c>
      <c r="B622" s="10" t="s">
        <v>947</v>
      </c>
      <c r="C622" s="10" t="s">
        <v>290</v>
      </c>
      <c r="D622" s="9" t="n">
        <v>46285</v>
      </c>
      <c r="E622" s="10" t="s">
        <v>288</v>
      </c>
      <c r="F622" s="10" t="s">
        <v>15</v>
      </c>
      <c r="G622" s="10" t="s">
        <v>289</v>
      </c>
      <c r="H622" s="10" t="s">
        <v>275</v>
      </c>
      <c r="I622" s="11" t="s">
        <v>949</v>
      </c>
      <c r="J622" s="10" t="n">
        <f aca="false">IF(COUNTIFS($E$2:E622,E622,$A$2:A622,A622)=1,1,0)</f>
        <v>1</v>
      </c>
    </row>
    <row r="623" customFormat="false" ht="15" hidden="false" customHeight="false" outlineLevel="0" collapsed="false">
      <c r="A623" s="9" t="n">
        <v>46266</v>
      </c>
      <c r="B623" s="10" t="s">
        <v>947</v>
      </c>
      <c r="C623" s="10" t="s">
        <v>956</v>
      </c>
      <c r="D623" s="9" t="n">
        <v>46287</v>
      </c>
      <c r="E623" s="10" t="s">
        <v>285</v>
      </c>
      <c r="F623" s="10" t="s">
        <v>107</v>
      </c>
      <c r="G623" s="10" t="s">
        <v>286</v>
      </c>
      <c r="H623" s="10" t="s">
        <v>287</v>
      </c>
      <c r="I623" s="11" t="s">
        <v>949</v>
      </c>
      <c r="J623" s="10" t="n">
        <f aca="false">IF(COUNTIFS($E$2:E623,E623,$A$2:A623,A623)=1,1,0)</f>
        <v>1</v>
      </c>
    </row>
    <row r="624" customFormat="false" ht="15" hidden="false" customHeight="false" outlineLevel="0" collapsed="false">
      <c r="A624" s="9" t="n">
        <v>46266</v>
      </c>
      <c r="B624" s="10" t="s">
        <v>947</v>
      </c>
      <c r="C624" s="10" t="s">
        <v>945</v>
      </c>
      <c r="D624" s="9" t="n">
        <v>46289</v>
      </c>
      <c r="E624" s="10" t="s">
        <v>32</v>
      </c>
      <c r="F624" s="10" t="s">
        <v>33</v>
      </c>
      <c r="G624" s="10" t="s">
        <v>34</v>
      </c>
      <c r="H624" s="10"/>
      <c r="I624" s="11" t="s">
        <v>949</v>
      </c>
      <c r="J624" s="10" t="n">
        <f aca="false">IF(COUNTIFS($E$2:E624,E624,$A$2:A624,A624)=1,1,0)</f>
        <v>1</v>
      </c>
    </row>
    <row r="625" customFormat="false" ht="15" hidden="false" customHeight="false" outlineLevel="0" collapsed="false">
      <c r="A625" s="9" t="n">
        <v>46266</v>
      </c>
      <c r="B625" s="10" t="s">
        <v>947</v>
      </c>
      <c r="C625" s="10" t="s">
        <v>35</v>
      </c>
      <c r="D625" s="9" t="n">
        <v>46289</v>
      </c>
      <c r="E625" s="10" t="s">
        <v>32</v>
      </c>
      <c r="F625" s="10" t="s">
        <v>33</v>
      </c>
      <c r="G625" s="10" t="s">
        <v>34</v>
      </c>
      <c r="H625" s="10" t="s">
        <v>36</v>
      </c>
      <c r="I625" s="11" t="s">
        <v>949</v>
      </c>
      <c r="J625" s="10" t="n">
        <f aca="false">IF(COUNTIFS($E$2:E625,E625,$A$2:A625,A625)=1,1,0)</f>
        <v>0</v>
      </c>
    </row>
    <row r="626" customFormat="false" ht="15" hidden="false" customHeight="false" outlineLevel="0" collapsed="false">
      <c r="A626" s="9" t="n">
        <v>46266</v>
      </c>
      <c r="B626" s="10" t="s">
        <v>947</v>
      </c>
      <c r="C626" s="10" t="s">
        <v>29</v>
      </c>
      <c r="D626" s="9" t="n">
        <v>46290</v>
      </c>
      <c r="E626" s="10" t="s">
        <v>26</v>
      </c>
      <c r="F626" s="10" t="s">
        <v>27</v>
      </c>
      <c r="G626" s="10" t="s">
        <v>28</v>
      </c>
      <c r="H626" s="10" t="s">
        <v>670</v>
      </c>
      <c r="I626" s="11" t="s">
        <v>949</v>
      </c>
      <c r="J626" s="10" t="n">
        <f aca="false">IF(COUNTIFS($E$2:E626,E626,$A$2:A626,A626)=1,1,0)</f>
        <v>0</v>
      </c>
    </row>
    <row r="627" customFormat="false" ht="15" hidden="false" customHeight="false" outlineLevel="0" collapsed="false">
      <c r="A627" s="9" t="n">
        <v>46266</v>
      </c>
      <c r="B627" s="10" t="s">
        <v>947</v>
      </c>
      <c r="C627" s="10" t="s">
        <v>103</v>
      </c>
      <c r="D627" s="9" t="n">
        <v>46291</v>
      </c>
      <c r="E627" s="10" t="s">
        <v>101</v>
      </c>
      <c r="F627" s="10" t="s">
        <v>21</v>
      </c>
      <c r="G627" s="10" t="s">
        <v>102</v>
      </c>
      <c r="H627" s="10" t="s">
        <v>104</v>
      </c>
      <c r="I627" s="11" t="s">
        <v>949</v>
      </c>
      <c r="J627" s="10" t="n">
        <f aca="false">IF(COUNTIFS($E$2:E627,E627,$A$2:A627,A627)=1,1,0)</f>
        <v>1</v>
      </c>
    </row>
    <row r="628" customFormat="false" ht="15" hidden="false" customHeight="false" outlineLevel="0" collapsed="false">
      <c r="A628" s="9" t="n">
        <v>46266</v>
      </c>
      <c r="B628" s="10" t="s">
        <v>947</v>
      </c>
      <c r="C628" s="10" t="s">
        <v>957</v>
      </c>
      <c r="D628" s="9" t="n">
        <v>46291</v>
      </c>
      <c r="E628" s="10" t="s">
        <v>62</v>
      </c>
      <c r="F628" s="10" t="s">
        <v>15</v>
      </c>
      <c r="G628" s="10" t="s">
        <v>63</v>
      </c>
      <c r="H628" s="10" t="s">
        <v>41</v>
      </c>
      <c r="I628" s="11" t="s">
        <v>949</v>
      </c>
      <c r="J628" s="10" t="n">
        <f aca="false">IF(COUNTIFS($E$2:E628,E628,$A$2:A628,A628)=1,1,0)</f>
        <v>0</v>
      </c>
    </row>
    <row r="629" customFormat="false" ht="15" hidden="false" customHeight="false" outlineLevel="0" collapsed="false">
      <c r="A629" s="9" t="n">
        <v>46266</v>
      </c>
      <c r="B629" s="10" t="s">
        <v>947</v>
      </c>
      <c r="C629" s="10" t="s">
        <v>958</v>
      </c>
      <c r="D629" s="9" t="n">
        <v>46291</v>
      </c>
      <c r="E629" s="10" t="s">
        <v>62</v>
      </c>
      <c r="F629" s="10" t="s">
        <v>15</v>
      </c>
      <c r="G629" s="10" t="s">
        <v>63</v>
      </c>
      <c r="H629" s="10"/>
      <c r="I629" s="11" t="s">
        <v>949</v>
      </c>
      <c r="J629" s="10" t="n">
        <f aca="false">IF(COUNTIFS($E$2:E629,E629,$A$2:A629,A629)=1,1,0)</f>
        <v>0</v>
      </c>
    </row>
    <row r="630" customFormat="false" ht="15" hidden="false" customHeight="false" outlineLevel="0" collapsed="false">
      <c r="A630" s="9" t="n">
        <v>46266</v>
      </c>
      <c r="B630" s="10" t="s">
        <v>947</v>
      </c>
      <c r="C630" s="10" t="s">
        <v>122</v>
      </c>
      <c r="D630" s="9" t="n">
        <v>46291</v>
      </c>
      <c r="E630" s="10" t="s">
        <v>120</v>
      </c>
      <c r="F630" s="10" t="s">
        <v>15</v>
      </c>
      <c r="G630" s="10" t="s">
        <v>121</v>
      </c>
      <c r="H630" s="10"/>
      <c r="I630" s="11" t="s">
        <v>949</v>
      </c>
      <c r="J630" s="10" t="n">
        <f aca="false">IF(COUNTIFS($E$2:E630,E630,$A$2:A630,A630)=1,1,0)</f>
        <v>1</v>
      </c>
    </row>
    <row r="631" customFormat="false" ht="15" hidden="false" customHeight="false" outlineLevel="0" collapsed="false">
      <c r="A631" s="9" t="n">
        <v>46266</v>
      </c>
      <c r="B631" s="10" t="s">
        <v>947</v>
      </c>
      <c r="C631" s="10" t="s">
        <v>307</v>
      </c>
      <c r="D631" s="9" t="n">
        <v>46291</v>
      </c>
      <c r="E631" s="10" t="s">
        <v>306</v>
      </c>
      <c r="F631" s="10" t="s">
        <v>177</v>
      </c>
      <c r="G631" s="10" t="s">
        <v>289</v>
      </c>
      <c r="H631" s="10" t="s">
        <v>202</v>
      </c>
      <c r="I631" s="11" t="s">
        <v>949</v>
      </c>
      <c r="J631" s="10" t="n">
        <f aca="false">IF(COUNTIFS($E$2:E631,E631,$A$2:A631,A631)=1,1,0)</f>
        <v>1</v>
      </c>
    </row>
    <row r="632" customFormat="false" ht="15" hidden="false" customHeight="false" outlineLevel="0" collapsed="false">
      <c r="A632" s="9" t="n">
        <v>46266</v>
      </c>
      <c r="B632" s="10" t="s">
        <v>947</v>
      </c>
      <c r="C632" s="10" t="s">
        <v>17</v>
      </c>
      <c r="D632" s="9" t="n">
        <v>46291</v>
      </c>
      <c r="E632" s="10" t="s">
        <v>14</v>
      </c>
      <c r="F632" s="10" t="s">
        <v>15</v>
      </c>
      <c r="G632" s="10" t="s">
        <v>16</v>
      </c>
      <c r="H632" s="10"/>
      <c r="I632" s="11" t="s">
        <v>949</v>
      </c>
      <c r="J632" s="10" t="n">
        <f aca="false">IF(COUNTIFS($E$2:E632,E632,$A$2:A632,A632)=1,1,0)</f>
        <v>0</v>
      </c>
    </row>
    <row r="633" customFormat="false" ht="15" hidden="false" customHeight="false" outlineLevel="0" collapsed="false">
      <c r="A633" s="9" t="n">
        <v>46266</v>
      </c>
      <c r="B633" s="10" t="s">
        <v>947</v>
      </c>
      <c r="C633" s="10" t="s">
        <v>55</v>
      </c>
      <c r="D633" s="9" t="n">
        <v>46291</v>
      </c>
      <c r="E633" s="10" t="s">
        <v>53</v>
      </c>
      <c r="F633" s="10" t="s">
        <v>15</v>
      </c>
      <c r="G633" s="10" t="s">
        <v>54</v>
      </c>
      <c r="H633" s="10"/>
      <c r="I633" s="11" t="s">
        <v>949</v>
      </c>
      <c r="J633" s="10" t="n">
        <f aca="false">IF(COUNTIFS($E$2:E633,E633,$A$2:A633,A633)=1,1,0)</f>
        <v>1</v>
      </c>
    </row>
    <row r="634" customFormat="false" ht="15" hidden="false" customHeight="false" outlineLevel="0" collapsed="false">
      <c r="A634" s="9" t="n">
        <v>46266</v>
      </c>
      <c r="B634" s="10" t="s">
        <v>947</v>
      </c>
      <c r="C634" s="10" t="s">
        <v>78</v>
      </c>
      <c r="D634" s="9" t="n">
        <v>46292</v>
      </c>
      <c r="E634" s="10" t="s">
        <v>76</v>
      </c>
      <c r="F634" s="10" t="s">
        <v>21</v>
      </c>
      <c r="G634" s="10" t="s">
        <v>77</v>
      </c>
      <c r="H634" s="10" t="s">
        <v>79</v>
      </c>
      <c r="I634" s="11" t="s">
        <v>949</v>
      </c>
      <c r="J634" s="10" t="n">
        <f aca="false">IF(COUNTIFS($E$2:E634,E634,$A$2:A634,A634)=1,1,0)</f>
        <v>0</v>
      </c>
    </row>
    <row r="635" customFormat="false" ht="15" hidden="false" customHeight="false" outlineLevel="0" collapsed="false">
      <c r="A635" s="9" t="n">
        <v>46266</v>
      </c>
      <c r="B635" s="10" t="s">
        <v>947</v>
      </c>
      <c r="C635" s="10" t="s">
        <v>201</v>
      </c>
      <c r="D635" s="9" t="n">
        <v>46292</v>
      </c>
      <c r="E635" s="10" t="s">
        <v>199</v>
      </c>
      <c r="F635" s="10" t="s">
        <v>177</v>
      </c>
      <c r="G635" s="10" t="s">
        <v>200</v>
      </c>
      <c r="H635" s="10" t="s">
        <v>202</v>
      </c>
      <c r="I635" s="11" t="s">
        <v>949</v>
      </c>
      <c r="J635" s="10" t="n">
        <f aca="false">IF(COUNTIFS($E$2:E635,E635,$A$2:A635,A635)=1,1,0)</f>
        <v>1</v>
      </c>
    </row>
    <row r="636" customFormat="false" ht="15" hidden="false" customHeight="false" outlineLevel="0" collapsed="false">
      <c r="A636" s="9" t="n">
        <v>46266</v>
      </c>
      <c r="B636" s="10" t="s">
        <v>947</v>
      </c>
      <c r="C636" s="10" t="s">
        <v>720</v>
      </c>
      <c r="D636" s="9" t="n">
        <v>46292</v>
      </c>
      <c r="E636" s="10" t="s">
        <v>14</v>
      </c>
      <c r="F636" s="10" t="s">
        <v>15</v>
      </c>
      <c r="G636" s="10" t="s">
        <v>16</v>
      </c>
      <c r="H636" s="10" t="s">
        <v>520</v>
      </c>
      <c r="I636" s="11" t="s">
        <v>949</v>
      </c>
      <c r="J636" s="10" t="n">
        <f aca="false">IF(COUNTIFS($E$2:E636,E636,$A$2:A636,A636)=1,1,0)</f>
        <v>0</v>
      </c>
    </row>
    <row r="637" customFormat="false" ht="15" hidden="false" customHeight="false" outlineLevel="0" collapsed="false">
      <c r="A637" s="9" t="n">
        <v>46266</v>
      </c>
      <c r="B637" s="10" t="s">
        <v>947</v>
      </c>
      <c r="C637" s="10" t="s">
        <v>148</v>
      </c>
      <c r="D637" s="9" t="n">
        <v>46294</v>
      </c>
      <c r="E637" s="10" t="s">
        <v>146</v>
      </c>
      <c r="F637" s="10" t="s">
        <v>107</v>
      </c>
      <c r="G637" s="10" t="s">
        <v>147</v>
      </c>
      <c r="H637" s="10"/>
      <c r="I637" s="11" t="s">
        <v>949</v>
      </c>
      <c r="J637" s="10" t="n">
        <f aca="false">IF(COUNTIFS($E$2:E637,E637,$A$2:A637,A637)=1,1,0)</f>
        <v>1</v>
      </c>
    </row>
    <row r="638" customFormat="false" ht="15" hidden="false" customHeight="false" outlineLevel="0" collapsed="false">
      <c r="A638" s="9" t="n">
        <v>46266</v>
      </c>
      <c r="B638" s="10" t="s">
        <v>947</v>
      </c>
      <c r="C638" s="10" t="s">
        <v>959</v>
      </c>
      <c r="D638" s="9" t="n">
        <v>46294</v>
      </c>
      <c r="E638" s="10" t="s">
        <v>38</v>
      </c>
      <c r="F638" s="10" t="s">
        <v>15</v>
      </c>
      <c r="G638" s="10" t="s">
        <v>39</v>
      </c>
      <c r="H638" s="10"/>
      <c r="I638" s="11" t="s">
        <v>949</v>
      </c>
      <c r="J638" s="10" t="n">
        <f aca="false">IF(COUNTIFS($E$2:E638,E638,$A$2:A638,A638)=1,1,0)</f>
        <v>0</v>
      </c>
    </row>
    <row r="639" customFormat="false" ht="15" hidden="false" customHeight="false" outlineLevel="0" collapsed="false">
      <c r="A639" s="9" t="n">
        <v>46266</v>
      </c>
      <c r="B639" s="10" t="s">
        <v>947</v>
      </c>
      <c r="C639" s="10" t="s">
        <v>960</v>
      </c>
      <c r="D639" s="9" t="n">
        <v>46294</v>
      </c>
      <c r="E639" s="10" t="s">
        <v>32</v>
      </c>
      <c r="F639" s="10" t="s">
        <v>33</v>
      </c>
      <c r="G639" s="10" t="s">
        <v>34</v>
      </c>
      <c r="H639" s="10" t="s">
        <v>36</v>
      </c>
      <c r="I639" s="11" t="s">
        <v>949</v>
      </c>
      <c r="J639" s="10" t="n">
        <f aca="false">IF(COUNTIFS($E$2:E639,E639,$A$2:A639,A639)=1,1,0)</f>
        <v>0</v>
      </c>
    </row>
    <row r="640" customFormat="false" ht="15" hidden="false" customHeight="false" outlineLevel="0" collapsed="false">
      <c r="A640" s="9" t="n">
        <v>46266</v>
      </c>
      <c r="B640" s="10" t="s">
        <v>947</v>
      </c>
      <c r="C640" s="10" t="s">
        <v>178</v>
      </c>
      <c r="D640" s="9" t="n">
        <v>46296</v>
      </c>
      <c r="E640" s="10" t="s">
        <v>176</v>
      </c>
      <c r="F640" s="10" t="s">
        <v>177</v>
      </c>
      <c r="G640" s="10" t="s">
        <v>28</v>
      </c>
      <c r="H640" s="10"/>
      <c r="I640" s="11" t="s">
        <v>949</v>
      </c>
      <c r="J640" s="10" t="n">
        <f aca="false">IF(COUNTIFS($E$2:E640,E640,$A$2:A640,A640)=1,1,0)</f>
        <v>1</v>
      </c>
    </row>
    <row r="641" customFormat="false" ht="15" hidden="false" customHeight="false" outlineLevel="0" collapsed="false">
      <c r="A641" s="9" t="n">
        <v>46266</v>
      </c>
      <c r="B641" s="10" t="s">
        <v>947</v>
      </c>
      <c r="C641" s="10" t="s">
        <v>440</v>
      </c>
      <c r="D641" s="9" t="n">
        <v>46298</v>
      </c>
      <c r="E641" s="10" t="s">
        <v>439</v>
      </c>
      <c r="F641" s="10" t="s">
        <v>190</v>
      </c>
      <c r="G641" s="10" t="s">
        <v>28</v>
      </c>
      <c r="H641" s="10" t="s">
        <v>441</v>
      </c>
      <c r="I641" s="11" t="s">
        <v>949</v>
      </c>
      <c r="J641" s="10" t="n">
        <f aca="false">IF(COUNTIFS($E$2:E641,E641,$A$2:A641,A641)=1,1,0)</f>
        <v>1</v>
      </c>
    </row>
    <row r="642" customFormat="false" ht="15" hidden="false" customHeight="false" outlineLevel="0" collapsed="false">
      <c r="A642" s="9" t="n">
        <v>46266</v>
      </c>
      <c r="B642" s="10" t="s">
        <v>947</v>
      </c>
      <c r="C642" s="10" t="s">
        <v>245</v>
      </c>
      <c r="D642" s="9" t="n">
        <v>46302</v>
      </c>
      <c r="E642" s="10" t="s">
        <v>243</v>
      </c>
      <c r="F642" s="10" t="s">
        <v>177</v>
      </c>
      <c r="G642" s="10" t="s">
        <v>244</v>
      </c>
      <c r="H642" s="10" t="s">
        <v>246</v>
      </c>
      <c r="I642" s="11" t="s">
        <v>949</v>
      </c>
      <c r="J642" s="10" t="n">
        <f aca="false">IF(COUNTIFS($E$2:E642,E642,$A$2:A642,A642)=1,1,0)</f>
        <v>1</v>
      </c>
    </row>
    <row r="643" customFormat="false" ht="15" hidden="false" customHeight="false" outlineLevel="0" collapsed="false">
      <c r="A643" s="9" t="n">
        <v>46279</v>
      </c>
      <c r="B643" s="10" t="s">
        <v>961</v>
      </c>
      <c r="C643" s="10" t="s">
        <v>451</v>
      </c>
      <c r="D643" s="9" t="n">
        <v>46279</v>
      </c>
      <c r="E643" s="10" t="s">
        <v>450</v>
      </c>
      <c r="F643" s="10" t="s">
        <v>87</v>
      </c>
      <c r="G643" s="10" t="s">
        <v>191</v>
      </c>
      <c r="H643" s="10" t="s">
        <v>450</v>
      </c>
      <c r="I643" s="11" t="s">
        <v>962</v>
      </c>
      <c r="J643" s="10" t="n">
        <f aca="false">IF(COUNTIFS($E$2:E643,E643,$A$2:A643,A643)=1,1,0)</f>
        <v>1</v>
      </c>
    </row>
    <row r="644" customFormat="false" ht="15" hidden="false" customHeight="false" outlineLevel="0" collapsed="false">
      <c r="A644" s="9" t="n">
        <v>46279</v>
      </c>
      <c r="B644" s="10" t="s">
        <v>961</v>
      </c>
      <c r="C644" s="10" t="s">
        <v>307</v>
      </c>
      <c r="D644" s="9" t="n">
        <v>46279</v>
      </c>
      <c r="E644" s="10" t="s">
        <v>337</v>
      </c>
      <c r="F644" s="10" t="s">
        <v>177</v>
      </c>
      <c r="G644" s="10" t="s">
        <v>338</v>
      </c>
      <c r="H644" s="10" t="s">
        <v>202</v>
      </c>
      <c r="I644" s="11" t="s">
        <v>962</v>
      </c>
      <c r="J644" s="10" t="n">
        <f aca="false">IF(COUNTIFS($E$2:E644,E644,$A$2:A644,A644)=1,1,0)</f>
        <v>1</v>
      </c>
    </row>
    <row r="645" customFormat="false" ht="15" hidden="false" customHeight="false" outlineLevel="0" collapsed="false">
      <c r="A645" s="9" t="n">
        <v>46279</v>
      </c>
      <c r="B645" s="10" t="s">
        <v>961</v>
      </c>
      <c r="C645" s="10" t="s">
        <v>963</v>
      </c>
      <c r="D645" s="9" t="n">
        <v>46280</v>
      </c>
      <c r="E645" s="10" t="s">
        <v>14</v>
      </c>
      <c r="F645" s="10" t="s">
        <v>15</v>
      </c>
      <c r="G645" s="10" t="s">
        <v>16</v>
      </c>
      <c r="H645" s="10"/>
      <c r="I645" s="11" t="s">
        <v>962</v>
      </c>
      <c r="J645" s="10" t="n">
        <f aca="false">IF(COUNTIFS($E$2:E645,E645,$A$2:A645,A645)=1,1,0)</f>
        <v>1</v>
      </c>
    </row>
    <row r="646" customFormat="false" ht="15" hidden="false" customHeight="false" outlineLevel="0" collapsed="false">
      <c r="A646" s="9" t="n">
        <v>46279</v>
      </c>
      <c r="B646" s="10" t="s">
        <v>961</v>
      </c>
      <c r="C646" s="10" t="s">
        <v>126</v>
      </c>
      <c r="D646" s="9" t="n">
        <v>46281</v>
      </c>
      <c r="E646" s="10" t="s">
        <v>125</v>
      </c>
      <c r="F646" s="10" t="s">
        <v>107</v>
      </c>
      <c r="G646" s="10" t="s">
        <v>39</v>
      </c>
      <c r="H646" s="10" t="s">
        <v>127</v>
      </c>
      <c r="I646" s="11" t="s">
        <v>962</v>
      </c>
      <c r="J646" s="10" t="n">
        <f aca="false">IF(COUNTIFS($E$2:E646,E646,$A$2:A646,A646)=1,1,0)</f>
        <v>1</v>
      </c>
    </row>
    <row r="647" customFormat="false" ht="15" hidden="false" customHeight="false" outlineLevel="0" collapsed="false">
      <c r="A647" s="9" t="n">
        <v>46279</v>
      </c>
      <c r="B647" s="10" t="s">
        <v>961</v>
      </c>
      <c r="C647" s="10" t="s">
        <v>829</v>
      </c>
      <c r="D647" s="9" t="n">
        <v>46281</v>
      </c>
      <c r="E647" s="10" t="s">
        <v>14</v>
      </c>
      <c r="F647" s="10" t="s">
        <v>15</v>
      </c>
      <c r="G647" s="10" t="s">
        <v>16</v>
      </c>
      <c r="H647" s="10" t="s">
        <v>41</v>
      </c>
      <c r="I647" s="11" t="s">
        <v>962</v>
      </c>
      <c r="J647" s="10" t="n">
        <f aca="false">IF(COUNTIFS($E$2:E647,E647,$A$2:A647,A647)=1,1,0)</f>
        <v>0</v>
      </c>
    </row>
    <row r="648" customFormat="false" ht="15" hidden="false" customHeight="false" outlineLevel="0" collapsed="false">
      <c r="A648" s="9" t="n">
        <v>46279</v>
      </c>
      <c r="B648" s="10" t="s">
        <v>961</v>
      </c>
      <c r="C648" s="10" t="s">
        <v>649</v>
      </c>
      <c r="D648" s="9" t="n">
        <v>46281</v>
      </c>
      <c r="E648" s="10" t="s">
        <v>66</v>
      </c>
      <c r="F648" s="10" t="s">
        <v>33</v>
      </c>
      <c r="G648" s="10" t="s">
        <v>67</v>
      </c>
      <c r="H648" s="10" t="s">
        <v>69</v>
      </c>
      <c r="I648" s="11" t="s">
        <v>962</v>
      </c>
      <c r="J648" s="10" t="n">
        <f aca="false">IF(COUNTIFS($E$2:E648,E648,$A$2:A648,A648)=1,1,0)</f>
        <v>1</v>
      </c>
    </row>
    <row r="649" customFormat="false" ht="15" hidden="false" customHeight="false" outlineLevel="0" collapsed="false">
      <c r="A649" s="9" t="n">
        <v>46279</v>
      </c>
      <c r="B649" s="10" t="s">
        <v>961</v>
      </c>
      <c r="C649" s="10" t="s">
        <v>406</v>
      </c>
      <c r="D649" s="9" t="n">
        <v>46282</v>
      </c>
      <c r="E649" s="10" t="s">
        <v>404</v>
      </c>
      <c r="F649" s="10" t="s">
        <v>107</v>
      </c>
      <c r="G649" s="10" t="s">
        <v>405</v>
      </c>
      <c r="H649" s="10"/>
      <c r="I649" s="11" t="s">
        <v>962</v>
      </c>
      <c r="J649" s="10" t="n">
        <f aca="false">IF(COUNTIFS($E$2:E649,E649,$A$2:A649,A649)=1,1,0)</f>
        <v>1</v>
      </c>
    </row>
    <row r="650" customFormat="false" ht="15" hidden="false" customHeight="false" outlineLevel="0" collapsed="false">
      <c r="A650" s="9" t="n">
        <v>46279</v>
      </c>
      <c r="B650" s="10" t="s">
        <v>961</v>
      </c>
      <c r="C650" s="10" t="s">
        <v>905</v>
      </c>
      <c r="D650" s="9" t="n">
        <v>46282</v>
      </c>
      <c r="E650" s="10" t="s">
        <v>38</v>
      </c>
      <c r="F650" s="10" t="s">
        <v>15</v>
      </c>
      <c r="G650" s="10" t="s">
        <v>39</v>
      </c>
      <c r="H650" s="10" t="s">
        <v>931</v>
      </c>
      <c r="I650" s="11" t="s">
        <v>962</v>
      </c>
      <c r="J650" s="10" t="n">
        <f aca="false">IF(COUNTIFS($E$2:E650,E650,$A$2:A650,A650)=1,1,0)</f>
        <v>1</v>
      </c>
    </row>
    <row r="651" customFormat="false" ht="15" hidden="false" customHeight="false" outlineLevel="0" collapsed="false">
      <c r="A651" s="9" t="n">
        <v>46279</v>
      </c>
      <c r="B651" s="10" t="s">
        <v>961</v>
      </c>
      <c r="C651" s="10" t="s">
        <v>954</v>
      </c>
      <c r="D651" s="9" t="n">
        <v>46282</v>
      </c>
      <c r="E651" s="10" t="s">
        <v>26</v>
      </c>
      <c r="F651" s="10" t="s">
        <v>27</v>
      </c>
      <c r="G651" s="10" t="s">
        <v>28</v>
      </c>
      <c r="H651" s="10" t="s">
        <v>30</v>
      </c>
      <c r="I651" s="11" t="s">
        <v>962</v>
      </c>
      <c r="J651" s="10" t="n">
        <f aca="false">IF(COUNTIFS($E$2:E651,E651,$A$2:A651,A651)=1,1,0)</f>
        <v>1</v>
      </c>
    </row>
    <row r="652" customFormat="false" ht="15" hidden="false" customHeight="false" outlineLevel="0" collapsed="false">
      <c r="A652" s="9" t="n">
        <v>46279</v>
      </c>
      <c r="B652" s="10" t="s">
        <v>961</v>
      </c>
      <c r="C652" s="10" t="s">
        <v>320</v>
      </c>
      <c r="D652" s="9" t="n">
        <v>46283</v>
      </c>
      <c r="E652" s="10" t="s">
        <v>318</v>
      </c>
      <c r="F652" s="10" t="s">
        <v>21</v>
      </c>
      <c r="G652" s="10" t="s">
        <v>319</v>
      </c>
      <c r="H652" s="10" t="s">
        <v>964</v>
      </c>
      <c r="I652" s="11" t="s">
        <v>962</v>
      </c>
      <c r="J652" s="10" t="n">
        <f aca="false">IF(COUNTIFS($E$2:E652,E652,$A$2:A652,A652)=1,1,0)</f>
        <v>1</v>
      </c>
    </row>
    <row r="653" customFormat="false" ht="15" hidden="false" customHeight="false" outlineLevel="0" collapsed="false">
      <c r="A653" s="9" t="n">
        <v>46279</v>
      </c>
      <c r="B653" s="10" t="s">
        <v>961</v>
      </c>
      <c r="C653" s="10" t="s">
        <v>180</v>
      </c>
      <c r="D653" s="9" t="n">
        <v>46283</v>
      </c>
      <c r="E653" s="10" t="s">
        <v>179</v>
      </c>
      <c r="F653" s="10" t="s">
        <v>177</v>
      </c>
      <c r="G653" s="10" t="s">
        <v>142</v>
      </c>
      <c r="H653" s="10" t="s">
        <v>127</v>
      </c>
      <c r="I653" s="11" t="s">
        <v>962</v>
      </c>
      <c r="J653" s="10" t="n">
        <f aca="false">IF(COUNTIFS($E$2:E653,E653,$A$2:A653,A653)=1,1,0)</f>
        <v>1</v>
      </c>
    </row>
    <row r="654" customFormat="false" ht="15" hidden="false" customHeight="false" outlineLevel="0" collapsed="false">
      <c r="A654" s="9" t="n">
        <v>46279</v>
      </c>
      <c r="B654" s="10" t="s">
        <v>961</v>
      </c>
      <c r="C654" s="10" t="s">
        <v>73</v>
      </c>
      <c r="D654" s="9" t="n">
        <v>46284</v>
      </c>
      <c r="E654" s="10" t="s">
        <v>71</v>
      </c>
      <c r="F654" s="10" t="s">
        <v>27</v>
      </c>
      <c r="G654" s="10" t="s">
        <v>72</v>
      </c>
      <c r="H654" s="10" t="s">
        <v>341</v>
      </c>
      <c r="I654" s="11" t="s">
        <v>962</v>
      </c>
      <c r="J654" s="10" t="n">
        <f aca="false">IF(COUNTIFS($E$2:E654,E654,$A$2:A654,A654)=1,1,0)</f>
        <v>1</v>
      </c>
    </row>
    <row r="655" customFormat="false" ht="15" hidden="false" customHeight="false" outlineLevel="0" collapsed="false">
      <c r="A655" s="9" t="n">
        <v>46279</v>
      </c>
      <c r="B655" s="10" t="s">
        <v>961</v>
      </c>
      <c r="C655" s="10" t="s">
        <v>965</v>
      </c>
      <c r="D655" s="9" t="n">
        <v>46284</v>
      </c>
      <c r="E655" s="10" t="s">
        <v>196</v>
      </c>
      <c r="F655" s="10" t="s">
        <v>44</v>
      </c>
      <c r="G655" s="10" t="s">
        <v>102</v>
      </c>
      <c r="H655" s="10" t="s">
        <v>198</v>
      </c>
      <c r="I655" s="11" t="s">
        <v>962</v>
      </c>
      <c r="J655" s="10" t="n">
        <f aca="false">IF(COUNTIFS($E$2:E655,E655,$A$2:A655,A655)=1,1,0)</f>
        <v>1</v>
      </c>
    </row>
    <row r="656" customFormat="false" ht="15" hidden="false" customHeight="false" outlineLevel="0" collapsed="false">
      <c r="A656" s="9" t="n">
        <v>46279</v>
      </c>
      <c r="B656" s="10" t="s">
        <v>961</v>
      </c>
      <c r="C656" s="10" t="s">
        <v>911</v>
      </c>
      <c r="D656" s="9" t="n">
        <v>46284</v>
      </c>
      <c r="E656" s="10" t="s">
        <v>172</v>
      </c>
      <c r="F656" s="10" t="s">
        <v>15</v>
      </c>
      <c r="G656" s="10" t="s">
        <v>173</v>
      </c>
      <c r="H656" s="10" t="s">
        <v>175</v>
      </c>
      <c r="I656" s="11" t="s">
        <v>962</v>
      </c>
      <c r="J656" s="10" t="n">
        <f aca="false">IF(COUNTIFS($E$2:E656,E656,$A$2:A656,A656)=1,1,0)</f>
        <v>1</v>
      </c>
    </row>
    <row r="657" customFormat="false" ht="15" hidden="false" customHeight="false" outlineLevel="0" collapsed="false">
      <c r="A657" s="9" t="n">
        <v>46279</v>
      </c>
      <c r="B657" s="10" t="s">
        <v>961</v>
      </c>
      <c r="C657" s="10" t="s">
        <v>316</v>
      </c>
      <c r="D657" s="9" t="n">
        <v>46284</v>
      </c>
      <c r="E657" s="10" t="s">
        <v>315</v>
      </c>
      <c r="F657" s="10" t="s">
        <v>282</v>
      </c>
      <c r="G657" s="10" t="s">
        <v>142</v>
      </c>
      <c r="H657" s="10" t="s">
        <v>317</v>
      </c>
      <c r="I657" s="11" t="s">
        <v>962</v>
      </c>
      <c r="J657" s="10" t="n">
        <f aca="false">IF(COUNTIFS($E$2:E657,E657,$A$2:A657,A657)=1,1,0)</f>
        <v>1</v>
      </c>
    </row>
    <row r="658" customFormat="false" ht="15" hidden="false" customHeight="false" outlineLevel="0" collapsed="false">
      <c r="A658" s="9" t="n">
        <v>46279</v>
      </c>
      <c r="B658" s="10" t="s">
        <v>961</v>
      </c>
      <c r="C658" s="10" t="s">
        <v>966</v>
      </c>
      <c r="D658" s="9" t="n">
        <v>46284</v>
      </c>
      <c r="E658" s="10" t="s">
        <v>20</v>
      </c>
      <c r="F658" s="10" t="s">
        <v>21</v>
      </c>
      <c r="G658" s="10" t="s">
        <v>22</v>
      </c>
      <c r="H658" s="10" t="s">
        <v>24</v>
      </c>
      <c r="I658" s="11" t="s">
        <v>962</v>
      </c>
      <c r="J658" s="10" t="n">
        <f aca="false">IF(COUNTIFS($E$2:E658,E658,$A$2:A658,A658)=1,1,0)</f>
        <v>1</v>
      </c>
    </row>
    <row r="659" customFormat="false" ht="15" hidden="false" customHeight="false" outlineLevel="0" collapsed="false">
      <c r="A659" s="9" t="n">
        <v>46279</v>
      </c>
      <c r="B659" s="10" t="s">
        <v>961</v>
      </c>
      <c r="C659" s="10" t="s">
        <v>290</v>
      </c>
      <c r="D659" s="9" t="n">
        <v>46285</v>
      </c>
      <c r="E659" s="10" t="s">
        <v>288</v>
      </c>
      <c r="F659" s="10" t="s">
        <v>15</v>
      </c>
      <c r="G659" s="10" t="s">
        <v>289</v>
      </c>
      <c r="H659" s="10" t="s">
        <v>275</v>
      </c>
      <c r="I659" s="11" t="s">
        <v>962</v>
      </c>
      <c r="J659" s="10" t="n">
        <f aca="false">IF(COUNTIFS($E$2:E659,E659,$A$2:A659,A659)=1,1,0)</f>
        <v>1</v>
      </c>
    </row>
    <row r="660" customFormat="false" ht="15" hidden="false" customHeight="false" outlineLevel="0" collapsed="false">
      <c r="A660" s="9" t="n">
        <v>46279</v>
      </c>
      <c r="B660" s="10" t="s">
        <v>961</v>
      </c>
      <c r="C660" s="10" t="s">
        <v>287</v>
      </c>
      <c r="D660" s="9" t="n">
        <v>46287</v>
      </c>
      <c r="E660" s="10" t="s">
        <v>285</v>
      </c>
      <c r="F660" s="10" t="s">
        <v>107</v>
      </c>
      <c r="G660" s="10" t="s">
        <v>286</v>
      </c>
      <c r="H660" s="10" t="s">
        <v>287</v>
      </c>
      <c r="I660" s="11" t="s">
        <v>962</v>
      </c>
      <c r="J660" s="10" t="n">
        <f aca="false">IF(COUNTIFS($E$2:E660,E660,$A$2:A660,A660)=1,1,0)</f>
        <v>1</v>
      </c>
    </row>
    <row r="661" customFormat="false" ht="15" hidden="false" customHeight="false" outlineLevel="0" collapsed="false">
      <c r="A661" s="9" t="n">
        <v>46279</v>
      </c>
      <c r="B661" s="10" t="s">
        <v>961</v>
      </c>
      <c r="C661" s="10" t="s">
        <v>205</v>
      </c>
      <c r="D661" s="9" t="n">
        <v>46289</v>
      </c>
      <c r="E661" s="10" t="s">
        <v>203</v>
      </c>
      <c r="F661" s="10" t="s">
        <v>21</v>
      </c>
      <c r="G661" s="10" t="s">
        <v>204</v>
      </c>
      <c r="H661" s="10"/>
      <c r="I661" s="11" t="s">
        <v>962</v>
      </c>
      <c r="J661" s="10" t="n">
        <f aca="false">IF(COUNTIFS($E$2:E661,E661,$A$2:A661,A661)=1,1,0)</f>
        <v>1</v>
      </c>
    </row>
    <row r="662" customFormat="false" ht="15" hidden="false" customHeight="false" outlineLevel="0" collapsed="false">
      <c r="A662" s="9" t="n">
        <v>46279</v>
      </c>
      <c r="B662" s="10" t="s">
        <v>961</v>
      </c>
      <c r="C662" s="10" t="s">
        <v>945</v>
      </c>
      <c r="D662" s="9" t="n">
        <v>46289</v>
      </c>
      <c r="E662" s="10" t="s">
        <v>32</v>
      </c>
      <c r="F662" s="10" t="s">
        <v>33</v>
      </c>
      <c r="G662" s="10" t="s">
        <v>34</v>
      </c>
      <c r="H662" s="10"/>
      <c r="I662" s="11" t="s">
        <v>962</v>
      </c>
      <c r="J662" s="10" t="n">
        <f aca="false">IF(COUNTIFS($E$2:E662,E662,$A$2:A662,A662)=1,1,0)</f>
        <v>1</v>
      </c>
    </row>
    <row r="663" customFormat="false" ht="15" hidden="false" customHeight="false" outlineLevel="0" collapsed="false">
      <c r="A663" s="9" t="n">
        <v>46279</v>
      </c>
      <c r="B663" s="10" t="s">
        <v>961</v>
      </c>
      <c r="C663" s="10" t="s">
        <v>367</v>
      </c>
      <c r="D663" s="9" t="n">
        <v>46290</v>
      </c>
      <c r="E663" s="10" t="s">
        <v>169</v>
      </c>
      <c r="F663" s="10" t="s">
        <v>15</v>
      </c>
      <c r="G663" s="10" t="s">
        <v>39</v>
      </c>
      <c r="H663" s="10" t="s">
        <v>967</v>
      </c>
      <c r="I663" s="11" t="s">
        <v>962</v>
      </c>
      <c r="J663" s="10" t="n">
        <f aca="false">IF(COUNTIFS($E$2:E663,E663,$A$2:A663,A663)=1,1,0)</f>
        <v>1</v>
      </c>
    </row>
    <row r="664" customFormat="false" ht="15" hidden="false" customHeight="false" outlineLevel="0" collapsed="false">
      <c r="A664" s="9" t="n">
        <v>46279</v>
      </c>
      <c r="B664" s="10" t="s">
        <v>961</v>
      </c>
      <c r="C664" s="10" t="s">
        <v>968</v>
      </c>
      <c r="D664" s="9" t="n">
        <v>46290</v>
      </c>
      <c r="E664" s="10" t="s">
        <v>365</v>
      </c>
      <c r="F664" s="10" t="s">
        <v>15</v>
      </c>
      <c r="G664" s="10" t="s">
        <v>366</v>
      </c>
      <c r="H664" s="10" t="s">
        <v>969</v>
      </c>
      <c r="I664" s="11" t="s">
        <v>962</v>
      </c>
      <c r="J664" s="10" t="n">
        <f aca="false">IF(COUNTIFS($E$2:E664,E664,$A$2:A664,A664)=1,1,0)</f>
        <v>1</v>
      </c>
    </row>
    <row r="665" customFormat="false" ht="15" hidden="false" customHeight="false" outlineLevel="0" collapsed="false">
      <c r="A665" s="9" t="n">
        <v>46279</v>
      </c>
      <c r="B665" s="10" t="s">
        <v>961</v>
      </c>
      <c r="C665" s="10" t="s">
        <v>380</v>
      </c>
      <c r="D665" s="9" t="n">
        <v>46291</v>
      </c>
      <c r="E665" s="10" t="s">
        <v>379</v>
      </c>
      <c r="F665" s="10" t="s">
        <v>21</v>
      </c>
      <c r="G665" s="10" t="s">
        <v>263</v>
      </c>
      <c r="H665" s="10"/>
      <c r="I665" s="11" t="s">
        <v>962</v>
      </c>
      <c r="J665" s="10" t="n">
        <f aca="false">IF(COUNTIFS($E$2:E665,E665,$A$2:A665,A665)=1,1,0)</f>
        <v>1</v>
      </c>
    </row>
    <row r="666" customFormat="false" ht="15" hidden="false" customHeight="false" outlineLevel="0" collapsed="false">
      <c r="A666" s="9" t="n">
        <v>46279</v>
      </c>
      <c r="B666" s="10" t="s">
        <v>961</v>
      </c>
      <c r="C666" s="10" t="s">
        <v>970</v>
      </c>
      <c r="D666" s="9" t="n">
        <v>46291</v>
      </c>
      <c r="E666" s="10" t="s">
        <v>62</v>
      </c>
      <c r="F666" s="10" t="s">
        <v>15</v>
      </c>
      <c r="G666" s="10" t="s">
        <v>63</v>
      </c>
      <c r="H666" s="10" t="s">
        <v>41</v>
      </c>
      <c r="I666" s="11" t="s">
        <v>962</v>
      </c>
      <c r="J666" s="10" t="n">
        <f aca="false">IF(COUNTIFS($E$2:E666,E666,$A$2:A666,A666)=1,1,0)</f>
        <v>1</v>
      </c>
    </row>
    <row r="667" customFormat="false" ht="15" hidden="false" customHeight="false" outlineLevel="0" collapsed="false">
      <c r="A667" s="9" t="n">
        <v>46279</v>
      </c>
      <c r="B667" s="10" t="s">
        <v>961</v>
      </c>
      <c r="C667" s="10" t="s">
        <v>307</v>
      </c>
      <c r="D667" s="9" t="n">
        <v>46291</v>
      </c>
      <c r="E667" s="10" t="s">
        <v>306</v>
      </c>
      <c r="F667" s="10" t="s">
        <v>177</v>
      </c>
      <c r="G667" s="10" t="s">
        <v>289</v>
      </c>
      <c r="H667" s="10" t="s">
        <v>202</v>
      </c>
      <c r="I667" s="11" t="s">
        <v>962</v>
      </c>
      <c r="J667" s="10" t="n">
        <f aca="false">IF(COUNTIFS($E$2:E667,E667,$A$2:A667,A667)=1,1,0)</f>
        <v>1</v>
      </c>
    </row>
    <row r="668" customFormat="false" ht="15" hidden="false" customHeight="false" outlineLevel="0" collapsed="false">
      <c r="A668" s="9" t="n">
        <v>46279</v>
      </c>
      <c r="B668" s="10" t="s">
        <v>961</v>
      </c>
      <c r="C668" s="10" t="s">
        <v>367</v>
      </c>
      <c r="D668" s="9" t="n">
        <v>46291</v>
      </c>
      <c r="E668" s="10" t="s">
        <v>365</v>
      </c>
      <c r="F668" s="10" t="s">
        <v>15</v>
      </c>
      <c r="G668" s="10" t="s">
        <v>366</v>
      </c>
      <c r="H668" s="10" t="s">
        <v>967</v>
      </c>
      <c r="I668" s="11" t="s">
        <v>962</v>
      </c>
      <c r="J668" s="10" t="n">
        <f aca="false">IF(COUNTIFS($E$2:E668,E668,$A$2:A668,A668)=1,1,0)</f>
        <v>0</v>
      </c>
    </row>
    <row r="669" customFormat="false" ht="15" hidden="false" customHeight="false" outlineLevel="0" collapsed="false">
      <c r="A669" s="9" t="n">
        <v>46279</v>
      </c>
      <c r="B669" s="10" t="s">
        <v>961</v>
      </c>
      <c r="C669" s="10" t="s">
        <v>139</v>
      </c>
      <c r="D669" s="9" t="n">
        <v>46291</v>
      </c>
      <c r="E669" s="10" t="s">
        <v>137</v>
      </c>
      <c r="F669" s="10" t="s">
        <v>33</v>
      </c>
      <c r="G669" s="10" t="s">
        <v>138</v>
      </c>
      <c r="H669" s="10"/>
      <c r="I669" s="11" t="s">
        <v>962</v>
      </c>
      <c r="J669" s="10" t="n">
        <f aca="false">IF(COUNTIFS($E$2:E669,E669,$A$2:A669,A669)=1,1,0)</f>
        <v>1</v>
      </c>
    </row>
    <row r="670" customFormat="false" ht="15" hidden="false" customHeight="false" outlineLevel="0" collapsed="false">
      <c r="A670" s="9" t="n">
        <v>46279</v>
      </c>
      <c r="B670" s="10" t="s">
        <v>961</v>
      </c>
      <c r="C670" s="10" t="s">
        <v>55</v>
      </c>
      <c r="D670" s="9" t="n">
        <v>46291</v>
      </c>
      <c r="E670" s="10" t="s">
        <v>53</v>
      </c>
      <c r="F670" s="10" t="s">
        <v>15</v>
      </c>
      <c r="G670" s="10" t="s">
        <v>54</v>
      </c>
      <c r="H670" s="10"/>
      <c r="I670" s="11" t="s">
        <v>962</v>
      </c>
      <c r="J670" s="10" t="n">
        <f aca="false">IF(COUNTIFS($E$2:E670,E670,$A$2:A670,A670)=1,1,0)</f>
        <v>1</v>
      </c>
    </row>
    <row r="671" customFormat="false" ht="15" hidden="false" customHeight="false" outlineLevel="0" collapsed="false">
      <c r="A671" s="9" t="n">
        <v>46279</v>
      </c>
      <c r="B671" s="10" t="s">
        <v>961</v>
      </c>
      <c r="C671" s="10" t="s">
        <v>78</v>
      </c>
      <c r="D671" s="9" t="n">
        <v>46292</v>
      </c>
      <c r="E671" s="10" t="s">
        <v>76</v>
      </c>
      <c r="F671" s="10" t="s">
        <v>21</v>
      </c>
      <c r="G671" s="10" t="s">
        <v>77</v>
      </c>
      <c r="H671" s="10" t="s">
        <v>79</v>
      </c>
      <c r="I671" s="11" t="s">
        <v>962</v>
      </c>
      <c r="J671" s="10" t="n">
        <f aca="false">IF(COUNTIFS($E$2:E671,E671,$A$2:A671,A671)=1,1,0)</f>
        <v>1</v>
      </c>
    </row>
    <row r="672" customFormat="false" ht="15" hidden="false" customHeight="false" outlineLevel="0" collapsed="false">
      <c r="A672" s="9" t="n">
        <v>46279</v>
      </c>
      <c r="B672" s="10" t="s">
        <v>961</v>
      </c>
      <c r="C672" s="10" t="s">
        <v>201</v>
      </c>
      <c r="D672" s="9" t="n">
        <v>46292</v>
      </c>
      <c r="E672" s="10" t="s">
        <v>199</v>
      </c>
      <c r="F672" s="10" t="s">
        <v>177</v>
      </c>
      <c r="G672" s="10" t="s">
        <v>200</v>
      </c>
      <c r="H672" s="10" t="s">
        <v>202</v>
      </c>
      <c r="I672" s="11" t="s">
        <v>962</v>
      </c>
      <c r="J672" s="10" t="n">
        <f aca="false">IF(COUNTIFS($E$2:E672,E672,$A$2:A672,A672)=1,1,0)</f>
        <v>1</v>
      </c>
    </row>
    <row r="673" customFormat="false" ht="15" hidden="false" customHeight="false" outlineLevel="0" collapsed="false">
      <c r="A673" s="9" t="n">
        <v>46279</v>
      </c>
      <c r="B673" s="10" t="s">
        <v>961</v>
      </c>
      <c r="C673" s="10" t="s">
        <v>971</v>
      </c>
      <c r="D673" s="9" t="n">
        <v>46292</v>
      </c>
      <c r="E673" s="10" t="s">
        <v>333</v>
      </c>
      <c r="F673" s="10" t="s">
        <v>27</v>
      </c>
      <c r="G673" s="10" t="s">
        <v>334</v>
      </c>
      <c r="H673" s="10" t="s">
        <v>336</v>
      </c>
      <c r="I673" s="11" t="s">
        <v>962</v>
      </c>
      <c r="J673" s="10" t="n">
        <f aca="false">IF(COUNTIFS($E$2:E673,E673,$A$2:A673,A673)=1,1,0)</f>
        <v>1</v>
      </c>
    </row>
    <row r="674" customFormat="false" ht="15" hidden="false" customHeight="false" outlineLevel="0" collapsed="false">
      <c r="A674" s="9" t="n">
        <v>46279</v>
      </c>
      <c r="B674" s="10" t="s">
        <v>961</v>
      </c>
      <c r="C674" s="10" t="s">
        <v>367</v>
      </c>
      <c r="D674" s="9" t="n">
        <v>46292</v>
      </c>
      <c r="E674" s="10" t="s">
        <v>14</v>
      </c>
      <c r="F674" s="10" t="s">
        <v>15</v>
      </c>
      <c r="G674" s="10" t="s">
        <v>16</v>
      </c>
      <c r="H674" s="10" t="s">
        <v>967</v>
      </c>
      <c r="I674" s="11" t="s">
        <v>962</v>
      </c>
      <c r="J674" s="10" t="n">
        <f aca="false">IF(COUNTIFS($E$2:E674,E674,$A$2:A674,A674)=1,1,0)</f>
        <v>0</v>
      </c>
    </row>
    <row r="675" customFormat="false" ht="15" hidden="false" customHeight="false" outlineLevel="0" collapsed="false">
      <c r="A675" s="9" t="n">
        <v>46279</v>
      </c>
      <c r="B675" s="10" t="s">
        <v>961</v>
      </c>
      <c r="C675" s="10" t="s">
        <v>720</v>
      </c>
      <c r="D675" s="9" t="n">
        <v>46292</v>
      </c>
      <c r="E675" s="10" t="s">
        <v>14</v>
      </c>
      <c r="F675" s="10" t="s">
        <v>15</v>
      </c>
      <c r="G675" s="10" t="s">
        <v>16</v>
      </c>
      <c r="H675" s="10" t="s">
        <v>520</v>
      </c>
      <c r="I675" s="11" t="s">
        <v>962</v>
      </c>
      <c r="J675" s="10" t="n">
        <f aca="false">IF(COUNTIFS($E$2:E675,E675,$A$2:A675,A675)=1,1,0)</f>
        <v>0</v>
      </c>
    </row>
    <row r="676" customFormat="false" ht="15" hidden="false" customHeight="false" outlineLevel="0" collapsed="false">
      <c r="A676" s="9" t="n">
        <v>46279</v>
      </c>
      <c r="B676" s="10" t="s">
        <v>961</v>
      </c>
      <c r="C676" s="10" t="s">
        <v>972</v>
      </c>
      <c r="D676" s="9" t="n">
        <v>46293</v>
      </c>
      <c r="E676" s="10" t="s">
        <v>26</v>
      </c>
      <c r="F676" s="10" t="s">
        <v>27</v>
      </c>
      <c r="G676" s="10" t="s">
        <v>28</v>
      </c>
      <c r="H676" s="10" t="s">
        <v>973</v>
      </c>
      <c r="I676" s="11" t="s">
        <v>962</v>
      </c>
      <c r="J676" s="10" t="n">
        <f aca="false">IF(COUNTIFS($E$2:E676,E676,$A$2:A676,A676)=1,1,0)</f>
        <v>0</v>
      </c>
    </row>
    <row r="677" customFormat="false" ht="15" hidden="false" customHeight="false" outlineLevel="0" collapsed="false">
      <c r="A677" s="9" t="n">
        <v>46279</v>
      </c>
      <c r="B677" s="10" t="s">
        <v>961</v>
      </c>
      <c r="C677" s="10" t="s">
        <v>148</v>
      </c>
      <c r="D677" s="9" t="n">
        <v>46294</v>
      </c>
      <c r="E677" s="10" t="s">
        <v>146</v>
      </c>
      <c r="F677" s="10" t="s">
        <v>107</v>
      </c>
      <c r="G677" s="10" t="s">
        <v>147</v>
      </c>
      <c r="H677" s="10"/>
      <c r="I677" s="11" t="s">
        <v>962</v>
      </c>
      <c r="J677" s="10" t="n">
        <f aca="false">IF(COUNTIFS($E$2:E677,E677,$A$2:A677,A677)=1,1,0)</f>
        <v>1</v>
      </c>
    </row>
    <row r="678" customFormat="false" ht="15" hidden="false" customHeight="false" outlineLevel="0" collapsed="false">
      <c r="A678" s="9" t="n">
        <v>46279</v>
      </c>
      <c r="B678" s="10" t="s">
        <v>961</v>
      </c>
      <c r="C678" s="10" t="s">
        <v>960</v>
      </c>
      <c r="D678" s="9" t="n">
        <v>46294</v>
      </c>
      <c r="E678" s="10" t="s">
        <v>32</v>
      </c>
      <c r="F678" s="10" t="s">
        <v>33</v>
      </c>
      <c r="G678" s="10" t="s">
        <v>34</v>
      </c>
      <c r="H678" s="10" t="s">
        <v>36</v>
      </c>
      <c r="I678" s="11" t="s">
        <v>962</v>
      </c>
      <c r="J678" s="10" t="n">
        <f aca="false">IF(COUNTIFS($E$2:E678,E678,$A$2:A678,A678)=1,1,0)</f>
        <v>0</v>
      </c>
    </row>
    <row r="679" customFormat="false" ht="15" hidden="false" customHeight="false" outlineLevel="0" collapsed="false">
      <c r="A679" s="9" t="n">
        <v>46279</v>
      </c>
      <c r="B679" s="10" t="s">
        <v>961</v>
      </c>
      <c r="C679" s="10" t="s">
        <v>178</v>
      </c>
      <c r="D679" s="9" t="n">
        <v>46296</v>
      </c>
      <c r="E679" s="10" t="s">
        <v>176</v>
      </c>
      <c r="F679" s="10" t="s">
        <v>177</v>
      </c>
      <c r="G679" s="10" t="s">
        <v>28</v>
      </c>
      <c r="H679" s="10"/>
      <c r="I679" s="11" t="s">
        <v>962</v>
      </c>
      <c r="J679" s="10" t="n">
        <f aca="false">IF(COUNTIFS($E$2:E679,E679,$A$2:A679,A679)=1,1,0)</f>
        <v>1</v>
      </c>
    </row>
    <row r="680" customFormat="false" ht="15" hidden="false" customHeight="false" outlineLevel="0" collapsed="false">
      <c r="A680" s="9" t="n">
        <v>46279</v>
      </c>
      <c r="B680" s="10" t="s">
        <v>961</v>
      </c>
      <c r="C680" s="10" t="s">
        <v>959</v>
      </c>
      <c r="D680" s="9" t="n">
        <v>46296</v>
      </c>
      <c r="E680" s="10" t="s">
        <v>38</v>
      </c>
      <c r="F680" s="10" t="s">
        <v>15</v>
      </c>
      <c r="G680" s="10" t="s">
        <v>39</v>
      </c>
      <c r="H680" s="10"/>
      <c r="I680" s="11" t="s">
        <v>962</v>
      </c>
      <c r="J680" s="10" t="n">
        <f aca="false">IF(COUNTIFS($E$2:E680,E680,$A$2:A680,A680)=1,1,0)</f>
        <v>0</v>
      </c>
    </row>
    <row r="681" customFormat="false" ht="15" hidden="false" customHeight="false" outlineLevel="0" collapsed="false">
      <c r="A681" s="9" t="n">
        <v>46279</v>
      </c>
      <c r="B681" s="10" t="s">
        <v>961</v>
      </c>
      <c r="C681" s="10" t="s">
        <v>29</v>
      </c>
      <c r="D681" s="9" t="n">
        <v>46297</v>
      </c>
      <c r="E681" s="10" t="s">
        <v>26</v>
      </c>
      <c r="F681" s="10" t="s">
        <v>27</v>
      </c>
      <c r="G681" s="10" t="s">
        <v>28</v>
      </c>
      <c r="H681" s="10" t="s">
        <v>670</v>
      </c>
      <c r="I681" s="11" t="s">
        <v>962</v>
      </c>
      <c r="J681" s="10" t="n">
        <f aca="false">IF(COUNTIFS($E$2:E681,E681,$A$2:A681,A681)=1,1,0)</f>
        <v>0</v>
      </c>
    </row>
    <row r="682" customFormat="false" ht="15" hidden="false" customHeight="false" outlineLevel="0" collapsed="false">
      <c r="A682" s="9" t="n">
        <v>46279</v>
      </c>
      <c r="B682" s="10" t="s">
        <v>961</v>
      </c>
      <c r="C682" s="10" t="s">
        <v>974</v>
      </c>
      <c r="D682" s="9" t="n">
        <v>46297</v>
      </c>
      <c r="E682" s="10" t="s">
        <v>20</v>
      </c>
      <c r="F682" s="10" t="s">
        <v>21</v>
      </c>
      <c r="G682" s="10" t="s">
        <v>22</v>
      </c>
      <c r="H682" s="10" t="s">
        <v>24</v>
      </c>
      <c r="I682" s="11" t="s">
        <v>962</v>
      </c>
      <c r="J682" s="10" t="n">
        <f aca="false">IF(COUNTIFS($E$2:E682,E682,$A$2:A682,A682)=1,1,0)</f>
        <v>0</v>
      </c>
    </row>
    <row r="683" customFormat="false" ht="15" hidden="false" customHeight="false" outlineLevel="0" collapsed="false">
      <c r="A683" s="9" t="n">
        <v>46279</v>
      </c>
      <c r="B683" s="10" t="s">
        <v>961</v>
      </c>
      <c r="C683" s="10" t="s">
        <v>103</v>
      </c>
      <c r="D683" s="9" t="n">
        <v>46298</v>
      </c>
      <c r="E683" s="10" t="s">
        <v>101</v>
      </c>
      <c r="F683" s="10" t="s">
        <v>21</v>
      </c>
      <c r="G683" s="10" t="s">
        <v>102</v>
      </c>
      <c r="H683" s="10" t="s">
        <v>104</v>
      </c>
      <c r="I683" s="11" t="s">
        <v>962</v>
      </c>
      <c r="J683" s="10" t="n">
        <f aca="false">IF(COUNTIFS($E$2:E683,E683,$A$2:A683,A683)=1,1,0)</f>
        <v>1</v>
      </c>
    </row>
    <row r="684" customFormat="false" ht="15" hidden="false" customHeight="false" outlineLevel="0" collapsed="false">
      <c r="A684" s="9" t="n">
        <v>46279</v>
      </c>
      <c r="B684" s="10" t="s">
        <v>961</v>
      </c>
      <c r="C684" s="10" t="s">
        <v>122</v>
      </c>
      <c r="D684" s="9" t="n">
        <v>46298</v>
      </c>
      <c r="E684" s="10" t="s">
        <v>120</v>
      </c>
      <c r="F684" s="10" t="s">
        <v>15</v>
      </c>
      <c r="G684" s="10" t="s">
        <v>121</v>
      </c>
      <c r="H684" s="10"/>
      <c r="I684" s="11" t="s">
        <v>962</v>
      </c>
      <c r="J684" s="10" t="n">
        <f aca="false">IF(COUNTIFS($E$2:E684,E684,$A$2:A684,A684)=1,1,0)</f>
        <v>1</v>
      </c>
    </row>
    <row r="685" customFormat="false" ht="15" hidden="false" customHeight="false" outlineLevel="0" collapsed="false">
      <c r="A685" s="9" t="n">
        <v>46279</v>
      </c>
      <c r="B685" s="10" t="s">
        <v>961</v>
      </c>
      <c r="C685" s="10" t="s">
        <v>299</v>
      </c>
      <c r="D685" s="9" t="n">
        <v>46298</v>
      </c>
      <c r="E685" s="10" t="s">
        <v>297</v>
      </c>
      <c r="F685" s="10" t="s">
        <v>177</v>
      </c>
      <c r="G685" s="10" t="s">
        <v>298</v>
      </c>
      <c r="H685" s="10" t="s">
        <v>300</v>
      </c>
      <c r="I685" s="11" t="s">
        <v>962</v>
      </c>
      <c r="J685" s="10" t="n">
        <f aca="false">IF(COUNTIFS($E$2:E685,E685,$A$2:A685,A685)=1,1,0)</f>
        <v>1</v>
      </c>
    </row>
    <row r="686" customFormat="false" ht="15" hidden="false" customHeight="false" outlineLevel="0" collapsed="false">
      <c r="A686" s="9" t="n">
        <v>46279</v>
      </c>
      <c r="B686" s="10" t="s">
        <v>961</v>
      </c>
      <c r="C686" s="10" t="s">
        <v>17</v>
      </c>
      <c r="D686" s="9" t="n">
        <v>46298</v>
      </c>
      <c r="E686" s="10" t="s">
        <v>14</v>
      </c>
      <c r="F686" s="10" t="s">
        <v>15</v>
      </c>
      <c r="G686" s="10" t="s">
        <v>16</v>
      </c>
      <c r="H686" s="10"/>
      <c r="I686" s="11" t="s">
        <v>962</v>
      </c>
      <c r="J686" s="10" t="n">
        <f aca="false">IF(COUNTIFS($E$2:E686,E686,$A$2:A686,A686)=1,1,0)</f>
        <v>0</v>
      </c>
    </row>
    <row r="687" customFormat="false" ht="15" hidden="false" customHeight="false" outlineLevel="0" collapsed="false">
      <c r="A687" s="9" t="n">
        <v>46279</v>
      </c>
      <c r="B687" s="10" t="s">
        <v>961</v>
      </c>
      <c r="C687" s="10" t="s">
        <v>46</v>
      </c>
      <c r="D687" s="9" t="n">
        <v>46299</v>
      </c>
      <c r="E687" s="10" t="s">
        <v>43</v>
      </c>
      <c r="F687" s="10" t="s">
        <v>44</v>
      </c>
      <c r="G687" s="10" t="s">
        <v>45</v>
      </c>
      <c r="H687" s="10" t="s">
        <v>975</v>
      </c>
      <c r="I687" s="11" t="s">
        <v>962</v>
      </c>
      <c r="J687" s="10" t="n">
        <f aca="false">IF(COUNTIFS($E$2:E687,E687,$A$2:A687,A687)=1,1,0)</f>
        <v>1</v>
      </c>
    </row>
    <row r="688" customFormat="false" ht="15" hidden="false" customHeight="false" outlineLevel="0" collapsed="false">
      <c r="A688" s="9" t="n">
        <v>46279</v>
      </c>
      <c r="B688" s="10" t="s">
        <v>961</v>
      </c>
      <c r="C688" s="10" t="s">
        <v>245</v>
      </c>
      <c r="D688" s="9" t="n">
        <v>46302</v>
      </c>
      <c r="E688" s="10" t="s">
        <v>243</v>
      </c>
      <c r="F688" s="10" t="s">
        <v>177</v>
      </c>
      <c r="G688" s="10" t="s">
        <v>244</v>
      </c>
      <c r="H688" s="10" t="s">
        <v>246</v>
      </c>
      <c r="I688" s="11" t="s">
        <v>962</v>
      </c>
      <c r="J688" s="10" t="n">
        <f aca="false">IF(COUNTIFS($E$2:E688,E688,$A$2:A688,A688)=1,1,0)</f>
        <v>1</v>
      </c>
    </row>
    <row r="689" customFormat="false" ht="15" hidden="false" customHeight="false" outlineLevel="0" collapsed="false">
      <c r="A689" s="9" t="n">
        <v>46279</v>
      </c>
      <c r="B689" s="10" t="s">
        <v>961</v>
      </c>
      <c r="C689" s="10" t="s">
        <v>35</v>
      </c>
      <c r="D689" s="9" t="n">
        <v>46303</v>
      </c>
      <c r="E689" s="10" t="s">
        <v>32</v>
      </c>
      <c r="F689" s="10" t="s">
        <v>33</v>
      </c>
      <c r="G689" s="10" t="s">
        <v>34</v>
      </c>
      <c r="H689" s="10" t="s">
        <v>36</v>
      </c>
      <c r="I689" s="11" t="s">
        <v>962</v>
      </c>
      <c r="J689" s="10" t="n">
        <f aca="false">IF(COUNTIFS($E$2:E689,E689,$A$2:A689,A689)=1,1,0)</f>
        <v>0</v>
      </c>
    </row>
    <row r="690" customFormat="false" ht="15" hidden="false" customHeight="false" outlineLevel="0" collapsed="false">
      <c r="A690" s="9" t="n">
        <v>46279</v>
      </c>
      <c r="B690" s="10" t="s">
        <v>961</v>
      </c>
      <c r="C690" s="10" t="s">
        <v>976</v>
      </c>
      <c r="D690" s="9" t="n">
        <v>46308</v>
      </c>
      <c r="E690" s="10" t="s">
        <v>32</v>
      </c>
      <c r="F690" s="10" t="s">
        <v>33</v>
      </c>
      <c r="G690" s="10" t="s">
        <v>34</v>
      </c>
      <c r="H690" s="10"/>
      <c r="I690" s="11" t="s">
        <v>962</v>
      </c>
      <c r="J690" s="10" t="n">
        <f aca="false">IF(COUNTIFS($E$2:E690,E690,$A$2:A690,A690)=1,1,0)</f>
        <v>0</v>
      </c>
    </row>
    <row r="691" customFormat="false" ht="15" hidden="false" customHeight="false" outlineLevel="0" collapsed="false">
      <c r="A691" s="9" t="n">
        <v>46279</v>
      </c>
      <c r="B691" s="10" t="s">
        <v>961</v>
      </c>
      <c r="C691" s="10" t="s">
        <v>977</v>
      </c>
      <c r="D691" s="9" t="n">
        <v>46310</v>
      </c>
      <c r="E691" s="10" t="s">
        <v>344</v>
      </c>
      <c r="F691" s="10" t="s">
        <v>33</v>
      </c>
      <c r="G691" s="10" t="s">
        <v>345</v>
      </c>
      <c r="H691" s="10"/>
      <c r="I691" s="11" t="s">
        <v>962</v>
      </c>
      <c r="J691" s="10" t="n">
        <f aca="false">IF(COUNTIFS($E$2:E691,E691,$A$2:A691,A691)=1,1,0)</f>
        <v>1</v>
      </c>
    </row>
    <row r="692" customFormat="false" ht="15" hidden="false" customHeight="false" outlineLevel="0" collapsed="false">
      <c r="A692" s="9" t="n">
        <v>46279</v>
      </c>
      <c r="B692" s="10" t="s">
        <v>961</v>
      </c>
      <c r="C692" s="10" t="s">
        <v>978</v>
      </c>
      <c r="D692" s="9" t="n">
        <v>46317</v>
      </c>
      <c r="E692" s="10" t="s">
        <v>133</v>
      </c>
      <c r="F692" s="10" t="s">
        <v>33</v>
      </c>
      <c r="G692" s="10" t="s">
        <v>134</v>
      </c>
      <c r="H692" s="10"/>
      <c r="I692" s="11" t="s">
        <v>962</v>
      </c>
      <c r="J692" s="10" t="n">
        <f aca="false">IF(COUNTIFS($E$2:E692,E692,$A$2:A692,A692)=1,1,0)</f>
        <v>1</v>
      </c>
    </row>
    <row r="693" customFormat="false" ht="15" hidden="false" customHeight="false" outlineLevel="0" collapsed="false">
      <c r="A693" s="9" t="n">
        <v>46279</v>
      </c>
      <c r="B693" s="10" t="s">
        <v>961</v>
      </c>
      <c r="C693" s="10" t="s">
        <v>979</v>
      </c>
      <c r="D693" s="9" t="n">
        <v>46319</v>
      </c>
      <c r="E693" s="10" t="s">
        <v>266</v>
      </c>
      <c r="F693" s="10" t="s">
        <v>33</v>
      </c>
      <c r="G693" s="10" t="s">
        <v>267</v>
      </c>
      <c r="H693" s="10" t="s">
        <v>36</v>
      </c>
      <c r="I693" s="11" t="s">
        <v>962</v>
      </c>
      <c r="J693" s="10" t="n">
        <f aca="false">IF(COUNTIFS($E$2:E693,E693,$A$2:A693,A693)=1,1,0)</f>
        <v>1</v>
      </c>
    </row>
    <row r="694" customFormat="false" ht="15" hidden="false" customHeight="false" outlineLevel="0" collapsed="false">
      <c r="A694" s="9" t="n">
        <v>46279</v>
      </c>
      <c r="B694" s="10" t="s">
        <v>961</v>
      </c>
      <c r="C694" s="10" t="s">
        <v>980</v>
      </c>
      <c r="D694" s="9" t="n">
        <v>46321</v>
      </c>
      <c r="E694" s="10" t="s">
        <v>96</v>
      </c>
      <c r="F694" s="10" t="s">
        <v>33</v>
      </c>
      <c r="G694" s="10" t="s">
        <v>97</v>
      </c>
      <c r="H694" s="10"/>
      <c r="I694" s="11" t="s">
        <v>962</v>
      </c>
      <c r="J694" s="10" t="n">
        <f aca="false">IF(COUNTIFS($E$2:E694,E694,$A$2:A694,A694)=1,1,0)</f>
        <v>1</v>
      </c>
    </row>
    <row r="695" customFormat="false" ht="15" hidden="false" customHeight="false" outlineLevel="0" collapsed="false">
      <c r="A695" s="9" t="n">
        <v>46279</v>
      </c>
      <c r="B695" s="10" t="s">
        <v>961</v>
      </c>
      <c r="C695" s="10" t="s">
        <v>981</v>
      </c>
      <c r="D695" s="9" t="n">
        <v>46323</v>
      </c>
      <c r="E695" s="10" t="s">
        <v>186</v>
      </c>
      <c r="F695" s="10" t="s">
        <v>33</v>
      </c>
      <c r="G695" s="10" t="s">
        <v>187</v>
      </c>
      <c r="H695" s="10"/>
      <c r="I695" s="11" t="s">
        <v>962</v>
      </c>
      <c r="J695" s="10" t="n">
        <f aca="false">IF(COUNTIFS($E$2:E695,E695,$A$2:A695,A695)=1,1,0)</f>
        <v>1</v>
      </c>
    </row>
    <row r="696" customFormat="false" ht="15" hidden="false" customHeight="false" outlineLevel="0" collapsed="false">
      <c r="A696" s="9" t="n">
        <v>46296</v>
      </c>
      <c r="B696" s="10" t="s">
        <v>982</v>
      </c>
      <c r="C696" s="10" t="s">
        <v>178</v>
      </c>
      <c r="D696" s="9" t="n">
        <v>46296</v>
      </c>
      <c r="E696" s="10" t="s">
        <v>176</v>
      </c>
      <c r="F696" s="10" t="s">
        <v>177</v>
      </c>
      <c r="G696" s="10" t="s">
        <v>28</v>
      </c>
      <c r="H696" s="10"/>
      <c r="I696" s="11" t="s">
        <v>983</v>
      </c>
      <c r="J696" s="10" t="n">
        <f aca="false">IF(COUNTIFS($E$2:E696,E696,$A$2:A696,A696)=1,1,0)</f>
        <v>1</v>
      </c>
    </row>
    <row r="697" customFormat="false" ht="15" hidden="false" customHeight="false" outlineLevel="0" collapsed="false">
      <c r="A697" s="9" t="n">
        <v>46296</v>
      </c>
      <c r="B697" s="10" t="s">
        <v>982</v>
      </c>
      <c r="C697" s="10" t="s">
        <v>984</v>
      </c>
      <c r="D697" s="9" t="n">
        <v>46296</v>
      </c>
      <c r="E697" s="10" t="s">
        <v>20</v>
      </c>
      <c r="F697" s="10" t="s">
        <v>21</v>
      </c>
      <c r="G697" s="10" t="s">
        <v>22</v>
      </c>
      <c r="H697" s="10" t="s">
        <v>24</v>
      </c>
      <c r="I697" s="11" t="s">
        <v>983</v>
      </c>
      <c r="J697" s="10" t="n">
        <f aca="false">IF(COUNTIFS($E$2:E697,E697,$A$2:A697,A697)=1,1,0)</f>
        <v>1</v>
      </c>
    </row>
    <row r="698" customFormat="false" ht="15" hidden="false" customHeight="false" outlineLevel="0" collapsed="false">
      <c r="A698" s="9" t="n">
        <v>46296</v>
      </c>
      <c r="B698" s="10" t="s">
        <v>982</v>
      </c>
      <c r="C698" s="10" t="s">
        <v>985</v>
      </c>
      <c r="D698" s="9" t="n">
        <v>46297</v>
      </c>
      <c r="E698" s="10" t="s">
        <v>222</v>
      </c>
      <c r="F698" s="10" t="s">
        <v>154</v>
      </c>
      <c r="G698" s="10" t="s">
        <v>223</v>
      </c>
      <c r="H698" s="10" t="s">
        <v>986</v>
      </c>
      <c r="I698" s="11" t="s">
        <v>983</v>
      </c>
      <c r="J698" s="10" t="n">
        <f aca="false">IF(COUNTIFS($E$2:E698,E698,$A$2:A698,A698)=1,1,0)</f>
        <v>1</v>
      </c>
    </row>
    <row r="699" customFormat="false" ht="15" hidden="false" customHeight="false" outlineLevel="0" collapsed="false">
      <c r="A699" s="9" t="n">
        <v>46296</v>
      </c>
      <c r="B699" s="10" t="s">
        <v>982</v>
      </c>
      <c r="C699" s="10" t="s">
        <v>974</v>
      </c>
      <c r="D699" s="9" t="n">
        <v>46297</v>
      </c>
      <c r="E699" s="10" t="s">
        <v>20</v>
      </c>
      <c r="F699" s="10" t="s">
        <v>21</v>
      </c>
      <c r="G699" s="10" t="s">
        <v>22</v>
      </c>
      <c r="H699" s="10" t="s">
        <v>24</v>
      </c>
      <c r="I699" s="11" t="s">
        <v>983</v>
      </c>
      <c r="J699" s="10" t="n">
        <f aca="false">IF(COUNTIFS($E$2:E699,E699,$A$2:A699,A699)=1,1,0)</f>
        <v>0</v>
      </c>
    </row>
    <row r="700" customFormat="false" ht="15" hidden="false" customHeight="false" outlineLevel="0" collapsed="false">
      <c r="A700" s="9" t="n">
        <v>46296</v>
      </c>
      <c r="B700" s="10" t="s">
        <v>982</v>
      </c>
      <c r="C700" s="10" t="s">
        <v>170</v>
      </c>
      <c r="D700" s="9" t="n">
        <v>46298</v>
      </c>
      <c r="E700" s="10" t="s">
        <v>169</v>
      </c>
      <c r="F700" s="10" t="s">
        <v>15</v>
      </c>
      <c r="G700" s="10" t="s">
        <v>39</v>
      </c>
      <c r="H700" s="10" t="s">
        <v>171</v>
      </c>
      <c r="I700" s="11" t="s">
        <v>983</v>
      </c>
      <c r="J700" s="10" t="n">
        <f aca="false">IF(COUNTIFS($E$2:E700,E700,$A$2:A700,A700)=1,1,0)</f>
        <v>1</v>
      </c>
    </row>
    <row r="701" customFormat="false" ht="15" hidden="false" customHeight="false" outlineLevel="0" collapsed="false">
      <c r="A701" s="9" t="n">
        <v>46296</v>
      </c>
      <c r="B701" s="10" t="s">
        <v>982</v>
      </c>
      <c r="C701" s="10" t="s">
        <v>299</v>
      </c>
      <c r="D701" s="9" t="n">
        <v>46298</v>
      </c>
      <c r="E701" s="10" t="s">
        <v>297</v>
      </c>
      <c r="F701" s="10" t="s">
        <v>177</v>
      </c>
      <c r="G701" s="10" t="s">
        <v>298</v>
      </c>
      <c r="H701" s="10" t="s">
        <v>300</v>
      </c>
      <c r="I701" s="11" t="s">
        <v>983</v>
      </c>
      <c r="J701" s="10" t="n">
        <f aca="false">IF(COUNTIFS($E$2:E701,E701,$A$2:A701,A701)=1,1,0)</f>
        <v>1</v>
      </c>
    </row>
    <row r="702" customFormat="false" ht="15" hidden="false" customHeight="false" outlineLevel="0" collapsed="false">
      <c r="A702" s="9" t="n">
        <v>46296</v>
      </c>
      <c r="B702" s="10" t="s">
        <v>982</v>
      </c>
      <c r="C702" s="10" t="s">
        <v>486</v>
      </c>
      <c r="D702" s="9" t="n">
        <v>46298</v>
      </c>
      <c r="E702" s="10" t="s">
        <v>485</v>
      </c>
      <c r="F702" s="10" t="s">
        <v>154</v>
      </c>
      <c r="G702" s="10" t="s">
        <v>39</v>
      </c>
      <c r="H702" s="10" t="s">
        <v>487</v>
      </c>
      <c r="I702" s="11" t="s">
        <v>983</v>
      </c>
      <c r="J702" s="10" t="n">
        <f aca="false">IF(COUNTIFS($E$2:E702,E702,$A$2:A702,A702)=1,1,0)</f>
        <v>1</v>
      </c>
    </row>
    <row r="703" customFormat="false" ht="15" hidden="false" customHeight="false" outlineLevel="0" collapsed="false">
      <c r="A703" s="9" t="n">
        <v>46296</v>
      </c>
      <c r="B703" s="10" t="s">
        <v>982</v>
      </c>
      <c r="C703" s="10" t="s">
        <v>46</v>
      </c>
      <c r="D703" s="9" t="n">
        <v>46299</v>
      </c>
      <c r="E703" s="10" t="s">
        <v>43</v>
      </c>
      <c r="F703" s="10" t="s">
        <v>44</v>
      </c>
      <c r="G703" s="10" t="s">
        <v>45</v>
      </c>
      <c r="H703" s="10" t="s">
        <v>975</v>
      </c>
      <c r="I703" s="11" t="s">
        <v>983</v>
      </c>
      <c r="J703" s="10" t="n">
        <f aca="false">IF(COUNTIFS($E$2:E703,E703,$A$2:A703,A703)=1,1,0)</f>
        <v>1</v>
      </c>
    </row>
    <row r="704" customFormat="false" ht="15" hidden="false" customHeight="false" outlineLevel="0" collapsed="false">
      <c r="A704" s="9" t="n">
        <v>46296</v>
      </c>
      <c r="B704" s="10" t="s">
        <v>982</v>
      </c>
      <c r="C704" s="10" t="s">
        <v>987</v>
      </c>
      <c r="D704" s="9" t="n">
        <v>46299</v>
      </c>
      <c r="E704" s="10" t="s">
        <v>76</v>
      </c>
      <c r="F704" s="10" t="s">
        <v>21</v>
      </c>
      <c r="G704" s="10" t="s">
        <v>77</v>
      </c>
      <c r="H704" s="10" t="s">
        <v>79</v>
      </c>
      <c r="I704" s="11" t="s">
        <v>983</v>
      </c>
      <c r="J704" s="10" t="n">
        <f aca="false">IF(COUNTIFS($E$2:E704,E704,$A$2:A704,A704)=1,1,0)</f>
        <v>1</v>
      </c>
    </row>
    <row r="705" customFormat="false" ht="15" hidden="false" customHeight="false" outlineLevel="0" collapsed="false">
      <c r="A705" s="9" t="n">
        <v>46296</v>
      </c>
      <c r="B705" s="10" t="s">
        <v>982</v>
      </c>
      <c r="C705" s="10" t="s">
        <v>988</v>
      </c>
      <c r="D705" s="9" t="n">
        <v>46299</v>
      </c>
      <c r="E705" s="10" t="s">
        <v>48</v>
      </c>
      <c r="F705" s="10" t="s">
        <v>33</v>
      </c>
      <c r="G705" s="10" t="s">
        <v>49</v>
      </c>
      <c r="H705" s="10" t="s">
        <v>989</v>
      </c>
      <c r="I705" s="11" t="s">
        <v>983</v>
      </c>
      <c r="J705" s="10" t="n">
        <f aca="false">IF(COUNTIFS($E$2:E705,E705,$A$2:A705,A705)=1,1,0)</f>
        <v>1</v>
      </c>
    </row>
    <row r="706" customFormat="false" ht="15" hidden="false" customHeight="false" outlineLevel="0" collapsed="false">
      <c r="A706" s="9" t="n">
        <v>46296</v>
      </c>
      <c r="B706" s="10" t="s">
        <v>982</v>
      </c>
      <c r="C706" s="10" t="s">
        <v>529</v>
      </c>
      <c r="D706" s="9" t="n">
        <v>46299</v>
      </c>
      <c r="E706" s="10" t="s">
        <v>527</v>
      </c>
      <c r="F706" s="10" t="s">
        <v>33</v>
      </c>
      <c r="G706" s="10" t="s">
        <v>528</v>
      </c>
      <c r="H706" s="10"/>
      <c r="I706" s="11" t="s">
        <v>983</v>
      </c>
      <c r="J706" s="10" t="n">
        <f aca="false">IF(COUNTIFS($E$2:E706,E706,$A$2:A706,A706)=1,1,0)</f>
        <v>1</v>
      </c>
    </row>
    <row r="707" customFormat="false" ht="15" hidden="false" customHeight="false" outlineLevel="0" collapsed="false">
      <c r="A707" s="9" t="n">
        <v>46296</v>
      </c>
      <c r="B707" s="10" t="s">
        <v>982</v>
      </c>
      <c r="C707" s="10" t="s">
        <v>257</v>
      </c>
      <c r="D707" s="9" t="n">
        <v>46299</v>
      </c>
      <c r="E707" s="10" t="s">
        <v>541</v>
      </c>
      <c r="F707" s="10" t="s">
        <v>33</v>
      </c>
      <c r="G707" s="10" t="s">
        <v>542</v>
      </c>
      <c r="H707" s="10" t="s">
        <v>543</v>
      </c>
      <c r="I707" s="11" t="s">
        <v>983</v>
      </c>
      <c r="J707" s="10" t="n">
        <f aca="false">IF(COUNTIFS($E$2:E707,E707,$A$2:A707,A707)=1,1,0)</f>
        <v>1</v>
      </c>
    </row>
    <row r="708" customFormat="false" ht="15" hidden="false" customHeight="false" outlineLevel="0" collapsed="false">
      <c r="A708" s="9" t="n">
        <v>46296</v>
      </c>
      <c r="B708" s="10" t="s">
        <v>982</v>
      </c>
      <c r="C708" s="10" t="s">
        <v>148</v>
      </c>
      <c r="D708" s="9" t="n">
        <v>46300</v>
      </c>
      <c r="E708" s="10" t="s">
        <v>146</v>
      </c>
      <c r="F708" s="10" t="s">
        <v>107</v>
      </c>
      <c r="G708" s="10" t="s">
        <v>147</v>
      </c>
      <c r="H708" s="10"/>
      <c r="I708" s="11" t="s">
        <v>983</v>
      </c>
      <c r="J708" s="10" t="n">
        <f aca="false">IF(COUNTIFS($E$2:E708,E708,$A$2:A708,A708)=1,1,0)</f>
        <v>1</v>
      </c>
    </row>
    <row r="709" customFormat="false" ht="15" hidden="false" customHeight="false" outlineLevel="0" collapsed="false">
      <c r="A709" s="9" t="n">
        <v>46296</v>
      </c>
      <c r="B709" s="10" t="s">
        <v>982</v>
      </c>
      <c r="C709" s="10" t="s">
        <v>506</v>
      </c>
      <c r="D709" s="9" t="n">
        <v>46300</v>
      </c>
      <c r="E709" s="10" t="s">
        <v>505</v>
      </c>
      <c r="F709" s="10" t="s">
        <v>21</v>
      </c>
      <c r="G709" s="10" t="s">
        <v>63</v>
      </c>
      <c r="H709" s="10"/>
      <c r="I709" s="11" t="s">
        <v>983</v>
      </c>
      <c r="J709" s="10" t="n">
        <f aca="false">IF(COUNTIFS($E$2:E709,E709,$A$2:A709,A709)=1,1,0)</f>
        <v>1</v>
      </c>
    </row>
    <row r="710" customFormat="false" ht="15" hidden="false" customHeight="false" outlineLevel="0" collapsed="false">
      <c r="A710" s="9" t="n">
        <v>46296</v>
      </c>
      <c r="B710" s="10" t="s">
        <v>982</v>
      </c>
      <c r="C710" s="10" t="s">
        <v>445</v>
      </c>
      <c r="D710" s="9" t="n">
        <v>46300</v>
      </c>
      <c r="E710" s="10" t="s">
        <v>515</v>
      </c>
      <c r="F710" s="10" t="s">
        <v>282</v>
      </c>
      <c r="G710" s="10" t="s">
        <v>516</v>
      </c>
      <c r="H710" s="10" t="s">
        <v>446</v>
      </c>
      <c r="I710" s="11" t="s">
        <v>983</v>
      </c>
      <c r="J710" s="10" t="n">
        <f aca="false">IF(COUNTIFS($E$2:E710,E710,$A$2:A710,A710)=1,1,0)</f>
        <v>1</v>
      </c>
    </row>
    <row r="711" customFormat="false" ht="15" hidden="false" customHeight="false" outlineLevel="0" collapsed="false">
      <c r="A711" s="9" t="n">
        <v>46296</v>
      </c>
      <c r="B711" s="10" t="s">
        <v>982</v>
      </c>
      <c r="C711" s="10" t="s">
        <v>445</v>
      </c>
      <c r="D711" s="9" t="n">
        <v>46301</v>
      </c>
      <c r="E711" s="10" t="s">
        <v>444</v>
      </c>
      <c r="F711" s="10" t="s">
        <v>282</v>
      </c>
      <c r="G711" s="10" t="s">
        <v>39</v>
      </c>
      <c r="H711" s="10" t="s">
        <v>446</v>
      </c>
      <c r="I711" s="11" t="s">
        <v>983</v>
      </c>
      <c r="J711" s="10" t="n">
        <f aca="false">IF(COUNTIFS($E$2:E711,E711,$A$2:A711,A711)=1,1,0)</f>
        <v>1</v>
      </c>
    </row>
    <row r="712" customFormat="false" ht="15" hidden="false" customHeight="false" outlineLevel="0" collapsed="false">
      <c r="A712" s="9" t="n">
        <v>46296</v>
      </c>
      <c r="B712" s="10" t="s">
        <v>982</v>
      </c>
      <c r="C712" s="10" t="s">
        <v>434</v>
      </c>
      <c r="D712" s="9" t="n">
        <v>46302</v>
      </c>
      <c r="E712" s="10" t="s">
        <v>433</v>
      </c>
      <c r="F712" s="10" t="s">
        <v>107</v>
      </c>
      <c r="G712" s="10" t="s">
        <v>155</v>
      </c>
      <c r="H712" s="10" t="s">
        <v>435</v>
      </c>
      <c r="I712" s="11" t="s">
        <v>983</v>
      </c>
      <c r="J712" s="10" t="n">
        <f aca="false">IF(COUNTIFS($E$2:E712,E712,$A$2:A712,A712)=1,1,0)</f>
        <v>1</v>
      </c>
    </row>
    <row r="713" customFormat="false" ht="15" hidden="false" customHeight="false" outlineLevel="0" collapsed="false">
      <c r="A713" s="9" t="n">
        <v>46296</v>
      </c>
      <c r="B713" s="10" t="s">
        <v>982</v>
      </c>
      <c r="C713" s="10" t="s">
        <v>245</v>
      </c>
      <c r="D713" s="9" t="n">
        <v>46302</v>
      </c>
      <c r="E713" s="10" t="s">
        <v>243</v>
      </c>
      <c r="F713" s="10" t="s">
        <v>177</v>
      </c>
      <c r="G713" s="10" t="s">
        <v>244</v>
      </c>
      <c r="H713" s="10" t="s">
        <v>246</v>
      </c>
      <c r="I713" s="11" t="s">
        <v>983</v>
      </c>
      <c r="J713" s="10" t="n">
        <f aca="false">IF(COUNTIFS($E$2:E713,E713,$A$2:A713,A713)=1,1,0)</f>
        <v>1</v>
      </c>
    </row>
    <row r="714" customFormat="false" ht="15" hidden="false" customHeight="false" outlineLevel="0" collapsed="false">
      <c r="A714" s="9" t="n">
        <v>46296</v>
      </c>
      <c r="B714" s="10" t="s">
        <v>982</v>
      </c>
      <c r="C714" s="10" t="s">
        <v>990</v>
      </c>
      <c r="D714" s="9" t="n">
        <v>46303</v>
      </c>
      <c r="E714" s="10" t="s">
        <v>20</v>
      </c>
      <c r="F714" s="10" t="s">
        <v>21</v>
      </c>
      <c r="G714" s="10" t="s">
        <v>22</v>
      </c>
      <c r="H714" s="10" t="s">
        <v>24</v>
      </c>
      <c r="I714" s="11" t="s">
        <v>983</v>
      </c>
      <c r="J714" s="10" t="n">
        <f aca="false">IF(COUNTIFS($E$2:E714,E714,$A$2:A714,A714)=1,1,0)</f>
        <v>0</v>
      </c>
    </row>
    <row r="715" customFormat="false" ht="15" hidden="false" customHeight="false" outlineLevel="0" collapsed="false">
      <c r="A715" s="9" t="n">
        <v>46296</v>
      </c>
      <c r="B715" s="10" t="s">
        <v>982</v>
      </c>
      <c r="C715" s="10" t="s">
        <v>469</v>
      </c>
      <c r="D715" s="9" t="n">
        <v>46305</v>
      </c>
      <c r="E715" s="10" t="s">
        <v>468</v>
      </c>
      <c r="F715" s="10" t="s">
        <v>154</v>
      </c>
      <c r="G715" s="10" t="s">
        <v>155</v>
      </c>
      <c r="H715" s="10" t="s">
        <v>470</v>
      </c>
      <c r="I715" s="11" t="s">
        <v>983</v>
      </c>
      <c r="J715" s="10" t="n">
        <f aca="false">IF(COUNTIFS($E$2:E715,E715,$A$2:A715,A715)=1,1,0)</f>
        <v>1</v>
      </c>
    </row>
    <row r="716" customFormat="false" ht="15" hidden="false" customHeight="false" outlineLevel="0" collapsed="false">
      <c r="A716" s="9" t="n">
        <v>46296</v>
      </c>
      <c r="B716" s="10" t="s">
        <v>982</v>
      </c>
      <c r="C716" s="10" t="s">
        <v>991</v>
      </c>
      <c r="D716" s="9" t="n">
        <v>46305</v>
      </c>
      <c r="E716" s="10" t="s">
        <v>158</v>
      </c>
      <c r="F716" s="10" t="s">
        <v>107</v>
      </c>
      <c r="G716" s="10" t="s">
        <v>147</v>
      </c>
      <c r="H716" s="10"/>
      <c r="I716" s="11" t="s">
        <v>983</v>
      </c>
      <c r="J716" s="10" t="n">
        <f aca="false">IF(COUNTIFS($E$2:E716,E716,$A$2:A716,A716)=1,1,0)</f>
        <v>1</v>
      </c>
    </row>
    <row r="717" customFormat="false" ht="15" hidden="false" customHeight="false" outlineLevel="0" collapsed="false">
      <c r="A717" s="9" t="n">
        <v>46296</v>
      </c>
      <c r="B717" s="10" t="s">
        <v>982</v>
      </c>
      <c r="C717" s="10" t="s">
        <v>992</v>
      </c>
      <c r="D717" s="9" t="n">
        <v>46305</v>
      </c>
      <c r="E717" s="10" t="s">
        <v>14</v>
      </c>
      <c r="F717" s="10" t="s">
        <v>15</v>
      </c>
      <c r="G717" s="10" t="s">
        <v>16</v>
      </c>
      <c r="H717" s="10"/>
      <c r="I717" s="11" t="s">
        <v>983</v>
      </c>
      <c r="J717" s="10" t="n">
        <f aca="false">IF(COUNTIFS($E$2:E717,E717,$A$2:A717,A717)=1,1,0)</f>
        <v>1</v>
      </c>
    </row>
    <row r="718" customFormat="false" ht="15" hidden="false" customHeight="false" outlineLevel="0" collapsed="false">
      <c r="A718" s="9" t="n">
        <v>46296</v>
      </c>
      <c r="B718" s="10" t="s">
        <v>982</v>
      </c>
      <c r="C718" s="10" t="s">
        <v>993</v>
      </c>
      <c r="D718" s="9" t="n">
        <v>46306</v>
      </c>
      <c r="E718" s="10" t="s">
        <v>62</v>
      </c>
      <c r="F718" s="10" t="s">
        <v>15</v>
      </c>
      <c r="G718" s="10" t="s">
        <v>63</v>
      </c>
      <c r="H718" s="10"/>
      <c r="I718" s="11" t="s">
        <v>983</v>
      </c>
      <c r="J718" s="10" t="n">
        <f aca="false">IF(COUNTIFS($E$2:E718,E718,$A$2:A718,A718)=1,1,0)</f>
        <v>1</v>
      </c>
    </row>
    <row r="719" customFormat="false" ht="15" hidden="false" customHeight="false" outlineLevel="0" collapsed="false">
      <c r="A719" s="9" t="n">
        <v>46296</v>
      </c>
      <c r="B719" s="10" t="s">
        <v>982</v>
      </c>
      <c r="C719" s="10" t="s">
        <v>994</v>
      </c>
      <c r="D719" s="9" t="n">
        <v>46308</v>
      </c>
      <c r="E719" s="10" t="s">
        <v>32</v>
      </c>
      <c r="F719" s="10" t="s">
        <v>33</v>
      </c>
      <c r="G719" s="10" t="s">
        <v>34</v>
      </c>
      <c r="H719" s="10"/>
      <c r="I719" s="11" t="s">
        <v>983</v>
      </c>
      <c r="J719" s="10" t="n">
        <f aca="false">IF(COUNTIFS($E$2:E719,E719,$A$2:A719,A719)=1,1,0)</f>
        <v>1</v>
      </c>
    </row>
    <row r="720" customFormat="false" ht="15" hidden="false" customHeight="false" outlineLevel="0" collapsed="false">
      <c r="A720" s="9" t="n">
        <v>46296</v>
      </c>
      <c r="B720" s="10" t="s">
        <v>982</v>
      </c>
      <c r="C720" s="10" t="s">
        <v>389</v>
      </c>
      <c r="D720" s="9" t="n">
        <v>46309</v>
      </c>
      <c r="E720" s="10" t="s">
        <v>387</v>
      </c>
      <c r="F720" s="10" t="s">
        <v>44</v>
      </c>
      <c r="G720" s="10" t="s">
        <v>388</v>
      </c>
      <c r="H720" s="10" t="s">
        <v>390</v>
      </c>
      <c r="I720" s="11" t="s">
        <v>983</v>
      </c>
      <c r="J720" s="10" t="n">
        <f aca="false">IF(COUNTIFS($E$2:E720,E720,$A$2:A720,A720)=1,1,0)</f>
        <v>1</v>
      </c>
    </row>
    <row r="721" customFormat="false" ht="15" hidden="false" customHeight="false" outlineLevel="0" collapsed="false">
      <c r="A721" s="9" t="n">
        <v>46296</v>
      </c>
      <c r="B721" s="10" t="s">
        <v>982</v>
      </c>
      <c r="C721" s="10" t="s">
        <v>159</v>
      </c>
      <c r="D721" s="9" t="n">
        <v>46310</v>
      </c>
      <c r="E721" s="10" t="s">
        <v>158</v>
      </c>
      <c r="F721" s="10" t="s">
        <v>107</v>
      </c>
      <c r="G721" s="10" t="s">
        <v>147</v>
      </c>
      <c r="H721" s="10"/>
      <c r="I721" s="11" t="s">
        <v>983</v>
      </c>
      <c r="J721" s="10" t="n">
        <f aca="false">IF(COUNTIFS($E$2:E721,E721,$A$2:A721,A721)=1,1,0)</f>
        <v>0</v>
      </c>
    </row>
    <row r="722" customFormat="false" ht="15" hidden="false" customHeight="false" outlineLevel="0" collapsed="false">
      <c r="A722" s="9" t="n">
        <v>46296</v>
      </c>
      <c r="B722" s="10" t="s">
        <v>982</v>
      </c>
      <c r="C722" s="10" t="s">
        <v>995</v>
      </c>
      <c r="D722" s="9" t="n">
        <v>46310</v>
      </c>
      <c r="E722" s="10" t="s">
        <v>26</v>
      </c>
      <c r="F722" s="10" t="s">
        <v>27</v>
      </c>
      <c r="G722" s="10" t="s">
        <v>28</v>
      </c>
      <c r="H722" s="10" t="s">
        <v>30</v>
      </c>
      <c r="I722" s="11" t="s">
        <v>983</v>
      </c>
      <c r="J722" s="10" t="n">
        <f aca="false">IF(COUNTIFS($E$2:E722,E722,$A$2:A722,A722)=1,1,0)</f>
        <v>1</v>
      </c>
    </row>
    <row r="723" customFormat="false" ht="15" hidden="false" customHeight="false" outlineLevel="0" collapsed="false">
      <c r="A723" s="9" t="n">
        <v>46296</v>
      </c>
      <c r="B723" s="10" t="s">
        <v>982</v>
      </c>
      <c r="C723" s="10" t="s">
        <v>346</v>
      </c>
      <c r="D723" s="9" t="n">
        <v>46310</v>
      </c>
      <c r="E723" s="10" t="s">
        <v>344</v>
      </c>
      <c r="F723" s="10" t="s">
        <v>33</v>
      </c>
      <c r="G723" s="10" t="s">
        <v>345</v>
      </c>
      <c r="H723" s="10"/>
      <c r="I723" s="11" t="s">
        <v>983</v>
      </c>
      <c r="J723" s="10" t="n">
        <f aca="false">IF(COUNTIFS($E$2:E723,E723,$A$2:A723,A723)=1,1,0)</f>
        <v>1</v>
      </c>
    </row>
    <row r="724" customFormat="false" ht="15" hidden="false" customHeight="false" outlineLevel="0" collapsed="false">
      <c r="A724" s="9" t="n">
        <v>46296</v>
      </c>
      <c r="B724" s="10" t="s">
        <v>982</v>
      </c>
      <c r="C724" s="10" t="s">
        <v>996</v>
      </c>
      <c r="D724" s="9" t="n">
        <v>46312</v>
      </c>
      <c r="E724" s="10" t="s">
        <v>62</v>
      </c>
      <c r="F724" s="10" t="s">
        <v>15</v>
      </c>
      <c r="G724" s="10" t="s">
        <v>63</v>
      </c>
      <c r="H724" s="10"/>
      <c r="I724" s="11" t="s">
        <v>983</v>
      </c>
      <c r="J724" s="10" t="n">
        <f aca="false">IF(COUNTIFS($E$2:E724,E724,$A$2:A724,A724)=1,1,0)</f>
        <v>0</v>
      </c>
    </row>
    <row r="725" customFormat="false" ht="15" hidden="false" customHeight="false" outlineLevel="0" collapsed="false">
      <c r="A725" s="9" t="n">
        <v>46296</v>
      </c>
      <c r="B725" s="10" t="s">
        <v>982</v>
      </c>
      <c r="C725" s="10" t="s">
        <v>302</v>
      </c>
      <c r="D725" s="9" t="n">
        <v>46312</v>
      </c>
      <c r="E725" s="10" t="s">
        <v>301</v>
      </c>
      <c r="F725" s="10" t="s">
        <v>15</v>
      </c>
      <c r="G725" s="10" t="s">
        <v>39</v>
      </c>
      <c r="H725" s="10"/>
      <c r="I725" s="11" t="s">
        <v>983</v>
      </c>
      <c r="J725" s="10" t="n">
        <f aca="false">IF(COUNTIFS($E$2:E725,E725,$A$2:A725,A725)=1,1,0)</f>
        <v>1</v>
      </c>
    </row>
    <row r="726" customFormat="false" ht="15" hidden="false" customHeight="false" outlineLevel="0" collapsed="false">
      <c r="A726" s="9" t="n">
        <v>46296</v>
      </c>
      <c r="B726" s="10" t="s">
        <v>982</v>
      </c>
      <c r="C726" s="10" t="s">
        <v>997</v>
      </c>
      <c r="D726" s="9" t="n">
        <v>46312</v>
      </c>
      <c r="E726" s="10" t="s">
        <v>38</v>
      </c>
      <c r="F726" s="10" t="s">
        <v>15</v>
      </c>
      <c r="G726" s="10" t="s">
        <v>39</v>
      </c>
      <c r="H726" s="10"/>
      <c r="I726" s="11" t="s">
        <v>983</v>
      </c>
      <c r="J726" s="10" t="n">
        <f aca="false">IF(COUNTIFS($E$2:E726,E726,$A$2:A726,A726)=1,1,0)</f>
        <v>1</v>
      </c>
    </row>
    <row r="727" customFormat="false" ht="15" hidden="false" customHeight="false" outlineLevel="0" collapsed="false">
      <c r="A727" s="9" t="n">
        <v>46296</v>
      </c>
      <c r="B727" s="10" t="s">
        <v>982</v>
      </c>
      <c r="C727" s="10" t="s">
        <v>312</v>
      </c>
      <c r="D727" s="9" t="n">
        <v>46313</v>
      </c>
      <c r="E727" s="10" t="s">
        <v>311</v>
      </c>
      <c r="F727" s="10" t="s">
        <v>15</v>
      </c>
      <c r="G727" s="10" t="s">
        <v>155</v>
      </c>
      <c r="H727" s="10"/>
      <c r="I727" s="11" t="s">
        <v>983</v>
      </c>
      <c r="J727" s="10" t="n">
        <f aca="false">IF(COUNTIFS($E$2:E727,E727,$A$2:A727,A727)=1,1,0)</f>
        <v>1</v>
      </c>
    </row>
    <row r="728" customFormat="false" ht="15" hidden="false" customHeight="false" outlineLevel="0" collapsed="false">
      <c r="A728" s="9" t="n">
        <v>46296</v>
      </c>
      <c r="B728" s="10" t="s">
        <v>982</v>
      </c>
      <c r="C728" s="10" t="s">
        <v>359</v>
      </c>
      <c r="D728" s="9" t="n">
        <v>46314</v>
      </c>
      <c r="E728" s="10" t="s">
        <v>358</v>
      </c>
      <c r="F728" s="10" t="s">
        <v>177</v>
      </c>
      <c r="G728" s="10" t="s">
        <v>16</v>
      </c>
      <c r="H728" s="10" t="s">
        <v>360</v>
      </c>
      <c r="I728" s="11" t="s">
        <v>983</v>
      </c>
      <c r="J728" s="10" t="n">
        <f aca="false">IF(COUNTIFS($E$2:E728,E728,$A$2:A728,A728)=1,1,0)</f>
        <v>1</v>
      </c>
    </row>
    <row r="729" customFormat="false" ht="15" hidden="false" customHeight="false" outlineLevel="0" collapsed="false">
      <c r="A729" s="9" t="n">
        <v>46296</v>
      </c>
      <c r="B729" s="10" t="s">
        <v>982</v>
      </c>
      <c r="C729" s="10" t="s">
        <v>327</v>
      </c>
      <c r="D729" s="9" t="n">
        <v>46316</v>
      </c>
      <c r="E729" s="10" t="s">
        <v>325</v>
      </c>
      <c r="F729" s="10" t="s">
        <v>21</v>
      </c>
      <c r="G729" s="10" t="s">
        <v>326</v>
      </c>
      <c r="H729" s="10"/>
      <c r="I729" s="11" t="s">
        <v>983</v>
      </c>
      <c r="J729" s="10" t="n">
        <f aca="false">IF(COUNTIFS($E$2:E729,E729,$A$2:A729,A729)=1,1,0)</f>
        <v>1</v>
      </c>
    </row>
    <row r="730" customFormat="false" ht="15" hidden="false" customHeight="false" outlineLevel="0" collapsed="false">
      <c r="A730" s="9" t="n">
        <v>46296</v>
      </c>
      <c r="B730" s="10" t="s">
        <v>982</v>
      </c>
      <c r="C730" s="10" t="s">
        <v>998</v>
      </c>
      <c r="D730" s="9" t="n">
        <v>46317</v>
      </c>
      <c r="E730" s="10" t="s">
        <v>133</v>
      </c>
      <c r="F730" s="10" t="s">
        <v>33</v>
      </c>
      <c r="G730" s="10" t="s">
        <v>134</v>
      </c>
      <c r="H730" s="10"/>
      <c r="I730" s="11" t="s">
        <v>983</v>
      </c>
      <c r="J730" s="10" t="n">
        <f aca="false">IF(COUNTIFS($E$2:E730,E730,$A$2:A730,A730)=1,1,0)</f>
        <v>1</v>
      </c>
    </row>
    <row r="731" customFormat="false" ht="15" hidden="false" customHeight="false" outlineLevel="0" collapsed="false">
      <c r="A731" s="9" t="n">
        <v>46296</v>
      </c>
      <c r="B731" s="10" t="s">
        <v>982</v>
      </c>
      <c r="C731" s="10" t="s">
        <v>999</v>
      </c>
      <c r="D731" s="9" t="n">
        <v>46318</v>
      </c>
      <c r="E731" s="10" t="s">
        <v>158</v>
      </c>
      <c r="F731" s="10" t="s">
        <v>107</v>
      </c>
      <c r="G731" s="10" t="s">
        <v>147</v>
      </c>
      <c r="H731" s="10" t="s">
        <v>69</v>
      </c>
      <c r="I731" s="11" t="s">
        <v>983</v>
      </c>
      <c r="J731" s="10" t="n">
        <f aca="false">IF(COUNTIFS($E$2:E731,E731,$A$2:A731,A731)=1,1,0)</f>
        <v>0</v>
      </c>
    </row>
    <row r="732" customFormat="false" ht="15" hidden="false" customHeight="false" outlineLevel="0" collapsed="false">
      <c r="A732" s="9" t="n">
        <v>46296</v>
      </c>
      <c r="B732" s="10" t="s">
        <v>982</v>
      </c>
      <c r="C732" s="10" t="s">
        <v>1000</v>
      </c>
      <c r="D732" s="9" t="n">
        <v>46319</v>
      </c>
      <c r="E732" s="10" t="s">
        <v>76</v>
      </c>
      <c r="F732" s="10" t="s">
        <v>21</v>
      </c>
      <c r="G732" s="10" t="s">
        <v>77</v>
      </c>
      <c r="H732" s="10" t="s">
        <v>79</v>
      </c>
      <c r="I732" s="11" t="s">
        <v>983</v>
      </c>
      <c r="J732" s="10" t="n">
        <f aca="false">IF(COUNTIFS($E$2:E732,E732,$A$2:A732,A732)=1,1,0)</f>
        <v>0</v>
      </c>
    </row>
    <row r="733" customFormat="false" ht="15" hidden="false" customHeight="false" outlineLevel="0" collapsed="false">
      <c r="A733" s="9" t="n">
        <v>46296</v>
      </c>
      <c r="B733" s="10" t="s">
        <v>982</v>
      </c>
      <c r="C733" s="10" t="s">
        <v>979</v>
      </c>
      <c r="D733" s="9" t="n">
        <v>46319</v>
      </c>
      <c r="E733" s="10" t="s">
        <v>266</v>
      </c>
      <c r="F733" s="10" t="s">
        <v>33</v>
      </c>
      <c r="G733" s="10" t="s">
        <v>267</v>
      </c>
      <c r="H733" s="10" t="s">
        <v>36</v>
      </c>
      <c r="I733" s="11" t="s">
        <v>983</v>
      </c>
      <c r="J733" s="10" t="n">
        <f aca="false">IF(COUNTIFS($E$2:E733,E733,$A$2:A733,A733)=1,1,0)</f>
        <v>1</v>
      </c>
    </row>
    <row r="734" customFormat="false" ht="15" hidden="false" customHeight="false" outlineLevel="0" collapsed="false">
      <c r="A734" s="9" t="n">
        <v>46296</v>
      </c>
      <c r="B734" s="10" t="s">
        <v>982</v>
      </c>
      <c r="C734" s="10" t="s">
        <v>78</v>
      </c>
      <c r="D734" s="9" t="n">
        <v>46320</v>
      </c>
      <c r="E734" s="10" t="s">
        <v>76</v>
      </c>
      <c r="F734" s="10" t="s">
        <v>21</v>
      </c>
      <c r="G734" s="10" t="s">
        <v>77</v>
      </c>
      <c r="H734" s="10" t="s">
        <v>79</v>
      </c>
      <c r="I734" s="11" t="s">
        <v>983</v>
      </c>
      <c r="J734" s="10" t="n">
        <f aca="false">IF(COUNTIFS($E$2:E734,E734,$A$2:A734,A734)=1,1,0)</f>
        <v>0</v>
      </c>
    </row>
    <row r="735" customFormat="false" ht="15" hidden="false" customHeight="false" outlineLevel="0" collapsed="false">
      <c r="A735" s="9" t="n">
        <v>46296</v>
      </c>
      <c r="B735" s="10" t="s">
        <v>982</v>
      </c>
      <c r="C735" s="10" t="s">
        <v>720</v>
      </c>
      <c r="D735" s="9" t="n">
        <v>46320</v>
      </c>
      <c r="E735" s="10" t="s">
        <v>14</v>
      </c>
      <c r="F735" s="10" t="s">
        <v>15</v>
      </c>
      <c r="G735" s="10" t="s">
        <v>16</v>
      </c>
      <c r="H735" s="10" t="s">
        <v>520</v>
      </c>
      <c r="I735" s="11" t="s">
        <v>983</v>
      </c>
      <c r="J735" s="10" t="n">
        <f aca="false">IF(COUNTIFS($E$2:E735,E735,$A$2:A735,A735)=1,1,0)</f>
        <v>0</v>
      </c>
    </row>
    <row r="736" customFormat="false" ht="15" hidden="false" customHeight="false" outlineLevel="0" collapsed="false">
      <c r="A736" s="9" t="n">
        <v>46296</v>
      </c>
      <c r="B736" s="10" t="s">
        <v>982</v>
      </c>
      <c r="C736" s="10" t="s">
        <v>907</v>
      </c>
      <c r="D736" s="9" t="n">
        <v>46320</v>
      </c>
      <c r="E736" s="10" t="s">
        <v>48</v>
      </c>
      <c r="F736" s="10" t="s">
        <v>33</v>
      </c>
      <c r="G736" s="10" t="s">
        <v>49</v>
      </c>
      <c r="H736" s="10" t="s">
        <v>908</v>
      </c>
      <c r="I736" s="11" t="s">
        <v>983</v>
      </c>
      <c r="J736" s="10" t="n">
        <f aca="false">IF(COUNTIFS($E$2:E736,E736,$A$2:A736,A736)=1,1,0)</f>
        <v>0</v>
      </c>
    </row>
    <row r="737" customFormat="false" ht="15" hidden="false" customHeight="false" outlineLevel="0" collapsed="false">
      <c r="A737" s="9" t="n">
        <v>46296</v>
      </c>
      <c r="B737" s="10" t="s">
        <v>982</v>
      </c>
      <c r="C737" s="10" t="s">
        <v>257</v>
      </c>
      <c r="D737" s="9" t="n">
        <v>46320</v>
      </c>
      <c r="E737" s="10" t="s">
        <v>255</v>
      </c>
      <c r="F737" s="10" t="s">
        <v>33</v>
      </c>
      <c r="G737" s="10" t="s">
        <v>256</v>
      </c>
      <c r="H737" s="10" t="s">
        <v>543</v>
      </c>
      <c r="I737" s="11" t="s">
        <v>983</v>
      </c>
      <c r="J737" s="10" t="n">
        <f aca="false">IF(COUNTIFS($E$2:E737,E737,$A$2:A737,A737)=1,1,0)</f>
        <v>1</v>
      </c>
    </row>
    <row r="738" customFormat="false" ht="15" hidden="false" customHeight="false" outlineLevel="0" collapsed="false">
      <c r="A738" s="9" t="n">
        <v>46296</v>
      </c>
      <c r="B738" s="10" t="s">
        <v>982</v>
      </c>
      <c r="C738" s="10" t="s">
        <v>64</v>
      </c>
      <c r="D738" s="9" t="n">
        <v>46321</v>
      </c>
      <c r="E738" s="10" t="s">
        <v>62</v>
      </c>
      <c r="F738" s="10" t="s">
        <v>15</v>
      </c>
      <c r="G738" s="10" t="s">
        <v>63</v>
      </c>
      <c r="H738" s="10"/>
      <c r="I738" s="11" t="s">
        <v>983</v>
      </c>
      <c r="J738" s="10" t="n">
        <f aca="false">IF(COUNTIFS($E$2:E738,E738,$A$2:A738,A738)=1,1,0)</f>
        <v>0</v>
      </c>
    </row>
    <row r="739" customFormat="false" ht="15" hidden="false" customHeight="false" outlineLevel="0" collapsed="false">
      <c r="A739" s="9" t="n">
        <v>46296</v>
      </c>
      <c r="B739" s="10" t="s">
        <v>982</v>
      </c>
      <c r="C739" s="10" t="s">
        <v>1001</v>
      </c>
      <c r="D739" s="9" t="n">
        <v>46321</v>
      </c>
      <c r="E739" s="10" t="s">
        <v>96</v>
      </c>
      <c r="F739" s="10" t="s">
        <v>33</v>
      </c>
      <c r="G739" s="10" t="s">
        <v>97</v>
      </c>
      <c r="H739" s="10"/>
      <c r="I739" s="11" t="s">
        <v>983</v>
      </c>
      <c r="J739" s="10" t="n">
        <f aca="false">IF(COUNTIFS($E$2:E739,E739,$A$2:A739,A739)=1,1,0)</f>
        <v>1</v>
      </c>
    </row>
    <row r="740" customFormat="false" ht="15" hidden="false" customHeight="false" outlineLevel="0" collapsed="false">
      <c r="A740" s="9" t="n">
        <v>46296</v>
      </c>
      <c r="B740" s="10" t="s">
        <v>982</v>
      </c>
      <c r="C740" s="10" t="s">
        <v>68</v>
      </c>
      <c r="D740" s="9" t="n">
        <v>46323</v>
      </c>
      <c r="E740" s="10" t="s">
        <v>66</v>
      </c>
      <c r="F740" s="10" t="s">
        <v>33</v>
      </c>
      <c r="G740" s="10" t="s">
        <v>67</v>
      </c>
      <c r="H740" s="10" t="s">
        <v>69</v>
      </c>
      <c r="I740" s="11" t="s">
        <v>983</v>
      </c>
      <c r="J740" s="10" t="n">
        <f aca="false">IF(COUNTIFS($E$2:E740,E740,$A$2:A740,A740)=1,1,0)</f>
        <v>1</v>
      </c>
    </row>
    <row r="741" customFormat="false" ht="15" hidden="false" customHeight="false" outlineLevel="0" collapsed="false">
      <c r="A741" s="9" t="n">
        <v>46296</v>
      </c>
      <c r="B741" s="10" t="s">
        <v>982</v>
      </c>
      <c r="C741" s="10" t="s">
        <v>1002</v>
      </c>
      <c r="D741" s="9" t="n">
        <v>46323</v>
      </c>
      <c r="E741" s="10" t="s">
        <v>186</v>
      </c>
      <c r="F741" s="10" t="s">
        <v>33</v>
      </c>
      <c r="G741" s="10" t="s">
        <v>187</v>
      </c>
      <c r="H741" s="10"/>
      <c r="I741" s="11" t="s">
        <v>983</v>
      </c>
      <c r="J741" s="10" t="n">
        <f aca="false">IF(COUNTIFS($E$2:E741,E741,$A$2:A741,A741)=1,1,0)</f>
        <v>1</v>
      </c>
    </row>
    <row r="742" customFormat="false" ht="15" hidden="false" customHeight="false" outlineLevel="0" collapsed="false">
      <c r="A742" s="9" t="n">
        <v>46296</v>
      </c>
      <c r="B742" s="10" t="s">
        <v>982</v>
      </c>
      <c r="C742" s="10" t="s">
        <v>270</v>
      </c>
      <c r="D742" s="9" t="n">
        <v>46324</v>
      </c>
      <c r="E742" s="10" t="s">
        <v>269</v>
      </c>
      <c r="F742" s="10" t="s">
        <v>177</v>
      </c>
      <c r="G742" s="10" t="s">
        <v>217</v>
      </c>
      <c r="H742" s="10" t="s">
        <v>271</v>
      </c>
      <c r="I742" s="11" t="s">
        <v>983</v>
      </c>
      <c r="J742" s="10" t="n">
        <f aca="false">IF(COUNTIFS($E$2:E742,E742,$A$2:A742,A742)=1,1,0)</f>
        <v>1</v>
      </c>
    </row>
    <row r="743" customFormat="false" ht="15" hidden="false" customHeight="false" outlineLevel="0" collapsed="false">
      <c r="A743" s="9" t="n">
        <v>46296</v>
      </c>
      <c r="B743" s="10" t="s">
        <v>982</v>
      </c>
      <c r="C743" s="10" t="s">
        <v>959</v>
      </c>
      <c r="D743" s="9" t="n">
        <v>46324</v>
      </c>
      <c r="E743" s="10" t="s">
        <v>38</v>
      </c>
      <c r="F743" s="10" t="s">
        <v>15</v>
      </c>
      <c r="G743" s="10" t="s">
        <v>39</v>
      </c>
      <c r="H743" s="10"/>
      <c r="I743" s="11" t="s">
        <v>983</v>
      </c>
      <c r="J743" s="10" t="n">
        <f aca="false">IF(COUNTIFS($E$2:E743,E743,$A$2:A743,A743)=1,1,0)</f>
        <v>0</v>
      </c>
    </row>
    <row r="744" customFormat="false" ht="15" hidden="false" customHeight="false" outlineLevel="0" collapsed="false">
      <c r="A744" s="9" t="n">
        <v>46296</v>
      </c>
      <c r="B744" s="10" t="s">
        <v>982</v>
      </c>
      <c r="C744" s="10" t="s">
        <v>35</v>
      </c>
      <c r="D744" s="9" t="n">
        <v>46324</v>
      </c>
      <c r="E744" s="10" t="s">
        <v>32</v>
      </c>
      <c r="F744" s="10" t="s">
        <v>33</v>
      </c>
      <c r="G744" s="10" t="s">
        <v>34</v>
      </c>
      <c r="H744" s="10" t="s">
        <v>36</v>
      </c>
      <c r="I744" s="11" t="s">
        <v>983</v>
      </c>
      <c r="J744" s="10" t="n">
        <f aca="false">IF(COUNTIFS($E$2:E744,E744,$A$2:A744,A744)=1,1,0)</f>
        <v>0</v>
      </c>
    </row>
    <row r="745" customFormat="false" ht="15" hidden="false" customHeight="false" outlineLevel="0" collapsed="false">
      <c r="A745" s="9" t="n">
        <v>46296</v>
      </c>
      <c r="B745" s="10" t="s">
        <v>982</v>
      </c>
      <c r="C745" s="10" t="s">
        <v>1003</v>
      </c>
      <c r="D745" s="9" t="n">
        <v>46325</v>
      </c>
      <c r="E745" s="10" t="s">
        <v>38</v>
      </c>
      <c r="F745" s="10" t="s">
        <v>15</v>
      </c>
      <c r="G745" s="10" t="s">
        <v>39</v>
      </c>
      <c r="H745" s="10"/>
      <c r="I745" s="11" t="s">
        <v>983</v>
      </c>
      <c r="J745" s="10" t="n">
        <f aca="false">IF(COUNTIFS($E$2:E745,E745,$A$2:A745,A745)=1,1,0)</f>
        <v>0</v>
      </c>
    </row>
    <row r="746" customFormat="false" ht="15" hidden="false" customHeight="false" outlineLevel="0" collapsed="false">
      <c r="A746" s="9" t="n">
        <v>46296</v>
      </c>
      <c r="B746" s="10" t="s">
        <v>982</v>
      </c>
      <c r="C746" s="10" t="s">
        <v>29</v>
      </c>
      <c r="D746" s="9" t="n">
        <v>46325</v>
      </c>
      <c r="E746" s="10" t="s">
        <v>26</v>
      </c>
      <c r="F746" s="10" t="s">
        <v>27</v>
      </c>
      <c r="G746" s="10" t="s">
        <v>28</v>
      </c>
      <c r="H746" s="10" t="s">
        <v>670</v>
      </c>
      <c r="I746" s="11" t="s">
        <v>983</v>
      </c>
      <c r="J746" s="10" t="n">
        <f aca="false">IF(COUNTIFS($E$2:E746,E746,$A$2:A746,A746)=1,1,0)</f>
        <v>0</v>
      </c>
    </row>
    <row r="747" customFormat="false" ht="15" hidden="false" customHeight="false" outlineLevel="0" collapsed="false">
      <c r="A747" s="9" t="n">
        <v>46296</v>
      </c>
      <c r="B747" s="10" t="s">
        <v>982</v>
      </c>
      <c r="C747" s="10" t="s">
        <v>23</v>
      </c>
      <c r="D747" s="9" t="n">
        <v>46325</v>
      </c>
      <c r="E747" s="10" t="s">
        <v>20</v>
      </c>
      <c r="F747" s="10" t="s">
        <v>21</v>
      </c>
      <c r="G747" s="10" t="s">
        <v>22</v>
      </c>
      <c r="H747" s="10" t="s">
        <v>1004</v>
      </c>
      <c r="I747" s="11" t="s">
        <v>983</v>
      </c>
      <c r="J747" s="10" t="n">
        <f aca="false">IF(COUNTIFS($E$2:E747,E747,$A$2:A747,A747)=1,1,0)</f>
        <v>0</v>
      </c>
    </row>
    <row r="748" customFormat="false" ht="15" hidden="false" customHeight="false" outlineLevel="0" collapsed="false">
      <c r="A748" s="9" t="n">
        <v>46296</v>
      </c>
      <c r="B748" s="10" t="s">
        <v>982</v>
      </c>
      <c r="C748" s="10" t="s">
        <v>103</v>
      </c>
      <c r="D748" s="9" t="n">
        <v>46326</v>
      </c>
      <c r="E748" s="10" t="s">
        <v>101</v>
      </c>
      <c r="F748" s="10" t="s">
        <v>21</v>
      </c>
      <c r="G748" s="10" t="s">
        <v>102</v>
      </c>
      <c r="H748" s="10" t="s">
        <v>104</v>
      </c>
      <c r="I748" s="11" t="s">
        <v>983</v>
      </c>
      <c r="J748" s="10" t="n">
        <f aca="false">IF(COUNTIFS($E$2:E748,E748,$A$2:A748,A748)=1,1,0)</f>
        <v>1</v>
      </c>
    </row>
    <row r="749" customFormat="false" ht="15" hidden="false" customHeight="false" outlineLevel="0" collapsed="false">
      <c r="A749" s="9" t="n">
        <v>46296</v>
      </c>
      <c r="B749" s="10" t="s">
        <v>982</v>
      </c>
      <c r="C749" s="10" t="s">
        <v>197</v>
      </c>
      <c r="D749" s="9" t="n">
        <v>46326</v>
      </c>
      <c r="E749" s="10" t="s">
        <v>196</v>
      </c>
      <c r="F749" s="10" t="s">
        <v>44</v>
      </c>
      <c r="G749" s="10" t="s">
        <v>102</v>
      </c>
      <c r="H749" s="10" t="s">
        <v>198</v>
      </c>
      <c r="I749" s="11" t="s">
        <v>983</v>
      </c>
      <c r="J749" s="10" t="n">
        <f aca="false">IF(COUNTIFS($E$2:E749,E749,$A$2:A749,A749)=1,1,0)</f>
        <v>1</v>
      </c>
    </row>
    <row r="750" customFormat="false" ht="15" hidden="false" customHeight="false" outlineLevel="0" collapsed="false">
      <c r="A750" s="9" t="n">
        <v>46296</v>
      </c>
      <c r="B750" s="10" t="s">
        <v>982</v>
      </c>
      <c r="C750" s="10" t="s">
        <v>122</v>
      </c>
      <c r="D750" s="9" t="n">
        <v>46326</v>
      </c>
      <c r="E750" s="10" t="s">
        <v>120</v>
      </c>
      <c r="F750" s="10" t="s">
        <v>15</v>
      </c>
      <c r="G750" s="10" t="s">
        <v>121</v>
      </c>
      <c r="H750" s="10"/>
      <c r="I750" s="11" t="s">
        <v>983</v>
      </c>
      <c r="J750" s="10" t="n">
        <f aca="false">IF(COUNTIFS($E$2:E750,E750,$A$2:A750,A750)=1,1,0)</f>
        <v>1</v>
      </c>
    </row>
    <row r="751" customFormat="false" ht="15" hidden="false" customHeight="false" outlineLevel="0" collapsed="false">
      <c r="A751" s="9" t="n">
        <v>46296</v>
      </c>
      <c r="B751" s="10" t="s">
        <v>982</v>
      </c>
      <c r="C751" s="10" t="s">
        <v>17</v>
      </c>
      <c r="D751" s="9" t="n">
        <v>46326</v>
      </c>
      <c r="E751" s="10" t="s">
        <v>14</v>
      </c>
      <c r="F751" s="10" t="s">
        <v>15</v>
      </c>
      <c r="G751" s="10" t="s">
        <v>16</v>
      </c>
      <c r="H751" s="10"/>
      <c r="I751" s="11" t="s">
        <v>983</v>
      </c>
      <c r="J751" s="10" t="n">
        <f aca="false">IF(COUNTIFS($E$2:E751,E751,$A$2:A751,A751)=1,1,0)</f>
        <v>0</v>
      </c>
    </row>
    <row r="752" customFormat="false" ht="15" hidden="false" customHeight="false" outlineLevel="0" collapsed="false">
      <c r="A752" s="9" t="n">
        <v>46296</v>
      </c>
      <c r="B752" s="10" t="s">
        <v>982</v>
      </c>
      <c r="C752" s="10" t="s">
        <v>264</v>
      </c>
      <c r="D752" s="9" t="n">
        <v>46329</v>
      </c>
      <c r="E752" s="10" t="s">
        <v>262</v>
      </c>
      <c r="F752" s="10" t="s">
        <v>177</v>
      </c>
      <c r="G752" s="10" t="s">
        <v>263</v>
      </c>
      <c r="H752" s="10" t="s">
        <v>265</v>
      </c>
      <c r="I752" s="11" t="s">
        <v>983</v>
      </c>
      <c r="J752" s="10" t="n">
        <f aca="false">IF(COUNTIFS($E$2:E752,E752,$A$2:A752,A752)=1,1,0)</f>
        <v>1</v>
      </c>
    </row>
    <row r="753" customFormat="false" ht="15" hidden="false" customHeight="false" outlineLevel="0" collapsed="false">
      <c r="A753" s="9" t="n">
        <v>46296</v>
      </c>
      <c r="B753" s="10" t="s">
        <v>982</v>
      </c>
      <c r="C753" s="10" t="s">
        <v>40</v>
      </c>
      <c r="D753" s="9" t="n">
        <v>46333</v>
      </c>
      <c r="E753" s="10" t="s">
        <v>38</v>
      </c>
      <c r="F753" s="10" t="s">
        <v>15</v>
      </c>
      <c r="G753" s="10" t="s">
        <v>39</v>
      </c>
      <c r="H753" s="10" t="s">
        <v>1005</v>
      </c>
      <c r="I753" s="11" t="s">
        <v>983</v>
      </c>
      <c r="J753" s="10" t="n">
        <f aca="false">IF(COUNTIFS($E$2:E753,E753,$A$2:A753,A753)=1,1,0)</f>
        <v>0</v>
      </c>
    </row>
    <row r="754" customFormat="false" ht="15" hidden="false" customHeight="false" outlineLevel="0" collapsed="false">
      <c r="A754" s="9" t="n">
        <v>46296</v>
      </c>
      <c r="B754" s="10" t="s">
        <v>982</v>
      </c>
      <c r="C754" s="10" t="s">
        <v>268</v>
      </c>
      <c r="D754" s="9" t="n">
        <v>46335</v>
      </c>
      <c r="E754" s="10" t="s">
        <v>266</v>
      </c>
      <c r="F754" s="10" t="s">
        <v>33</v>
      </c>
      <c r="G754" s="10" t="s">
        <v>267</v>
      </c>
      <c r="H754" s="10" t="s">
        <v>36</v>
      </c>
      <c r="I754" s="11" t="s">
        <v>983</v>
      </c>
      <c r="J754" s="10" t="n">
        <f aca="false">IF(COUNTIFS($E$2:E754,E754,$A$2:A754,A754)=1,1,0)</f>
        <v>0</v>
      </c>
    </row>
    <row r="755" customFormat="false" ht="15" hidden="false" customHeight="false" outlineLevel="0" collapsed="false">
      <c r="A755" s="9" t="n">
        <v>46311</v>
      </c>
      <c r="B755" s="10" t="s">
        <v>1006</v>
      </c>
      <c r="C755" s="10" t="s">
        <v>996</v>
      </c>
      <c r="D755" s="9" t="n">
        <v>46312</v>
      </c>
      <c r="E755" s="10" t="s">
        <v>62</v>
      </c>
      <c r="F755" s="10" t="s">
        <v>15</v>
      </c>
      <c r="G755" s="10" t="s">
        <v>63</v>
      </c>
      <c r="H755" s="10"/>
      <c r="I755" s="11" t="s">
        <v>1007</v>
      </c>
      <c r="J755" s="10" t="n">
        <f aca="false">IF(COUNTIFS($E$2:E755,E755,$A$2:A755,A755)=1,1,0)</f>
        <v>1</v>
      </c>
    </row>
    <row r="756" customFormat="false" ht="15" hidden="false" customHeight="false" outlineLevel="0" collapsed="false">
      <c r="A756" s="9" t="n">
        <v>46311</v>
      </c>
      <c r="B756" s="10" t="s">
        <v>1006</v>
      </c>
      <c r="C756" s="10" t="s">
        <v>302</v>
      </c>
      <c r="D756" s="9" t="n">
        <v>46312</v>
      </c>
      <c r="E756" s="10" t="s">
        <v>301</v>
      </c>
      <c r="F756" s="10" t="s">
        <v>15</v>
      </c>
      <c r="G756" s="10" t="s">
        <v>39</v>
      </c>
      <c r="H756" s="10"/>
      <c r="I756" s="11" t="s">
        <v>1007</v>
      </c>
      <c r="J756" s="10" t="n">
        <f aca="false">IF(COUNTIFS($E$2:E756,E756,$A$2:A756,A756)=1,1,0)</f>
        <v>1</v>
      </c>
    </row>
    <row r="757" customFormat="false" ht="15" hidden="false" customHeight="false" outlineLevel="0" collapsed="false">
      <c r="A757" s="9" t="n">
        <v>46311</v>
      </c>
      <c r="B757" s="10" t="s">
        <v>1006</v>
      </c>
      <c r="C757" s="10" t="s">
        <v>997</v>
      </c>
      <c r="D757" s="9" t="n">
        <v>46312</v>
      </c>
      <c r="E757" s="10" t="s">
        <v>38</v>
      </c>
      <c r="F757" s="10" t="s">
        <v>15</v>
      </c>
      <c r="G757" s="10" t="s">
        <v>39</v>
      </c>
      <c r="H757" s="10"/>
      <c r="I757" s="11" t="s">
        <v>1007</v>
      </c>
      <c r="J757" s="10" t="n">
        <f aca="false">IF(COUNTIFS($E$2:E757,E757,$A$2:A757,A757)=1,1,0)</f>
        <v>1</v>
      </c>
    </row>
    <row r="758" customFormat="false" ht="15" hidden="false" customHeight="false" outlineLevel="0" collapsed="false">
      <c r="A758" s="9" t="n">
        <v>46311</v>
      </c>
      <c r="B758" s="10" t="s">
        <v>1006</v>
      </c>
      <c r="C758" s="10" t="s">
        <v>416</v>
      </c>
      <c r="D758" s="9" t="n">
        <v>46313</v>
      </c>
      <c r="E758" s="10" t="s">
        <v>414</v>
      </c>
      <c r="F758" s="10" t="s">
        <v>21</v>
      </c>
      <c r="G758" s="10" t="s">
        <v>415</v>
      </c>
      <c r="H758" s="10" t="s">
        <v>417</v>
      </c>
      <c r="I758" s="11" t="s">
        <v>1007</v>
      </c>
      <c r="J758" s="10" t="n">
        <f aca="false">IF(COUNTIFS($E$2:E758,E758,$A$2:A758,A758)=1,1,0)</f>
        <v>1</v>
      </c>
    </row>
    <row r="759" customFormat="false" ht="15" hidden="false" customHeight="false" outlineLevel="0" collapsed="false">
      <c r="A759" s="9" t="n">
        <v>46311</v>
      </c>
      <c r="B759" s="10" t="s">
        <v>1006</v>
      </c>
      <c r="C759" s="10" t="s">
        <v>312</v>
      </c>
      <c r="D759" s="9" t="n">
        <v>46313</v>
      </c>
      <c r="E759" s="10" t="s">
        <v>311</v>
      </c>
      <c r="F759" s="10" t="s">
        <v>15</v>
      </c>
      <c r="G759" s="10" t="s">
        <v>155</v>
      </c>
      <c r="H759" s="10"/>
      <c r="I759" s="11" t="s">
        <v>1007</v>
      </c>
      <c r="J759" s="10" t="n">
        <f aca="false">IF(COUNTIFS($E$2:E759,E759,$A$2:A759,A759)=1,1,0)</f>
        <v>1</v>
      </c>
    </row>
    <row r="760" customFormat="false" ht="15" hidden="false" customHeight="false" outlineLevel="0" collapsed="false">
      <c r="A760" s="9" t="n">
        <v>46311</v>
      </c>
      <c r="B760" s="10" t="s">
        <v>1006</v>
      </c>
      <c r="C760" s="10" t="s">
        <v>349</v>
      </c>
      <c r="D760" s="9" t="n">
        <v>46313</v>
      </c>
      <c r="E760" s="10" t="s">
        <v>347</v>
      </c>
      <c r="F760" s="10" t="s">
        <v>33</v>
      </c>
      <c r="G760" s="10" t="s">
        <v>348</v>
      </c>
      <c r="H760" s="10"/>
      <c r="I760" s="11" t="s">
        <v>1007</v>
      </c>
      <c r="J760" s="10" t="n">
        <f aca="false">IF(COUNTIFS($E$2:E760,E760,$A$2:A760,A760)=1,1,0)</f>
        <v>1</v>
      </c>
    </row>
    <row r="761" customFormat="false" ht="15" hidden="false" customHeight="false" outlineLevel="0" collapsed="false">
      <c r="A761" s="9" t="n">
        <v>46311</v>
      </c>
      <c r="B761" s="10" t="s">
        <v>1006</v>
      </c>
      <c r="C761" s="10" t="s">
        <v>1008</v>
      </c>
      <c r="D761" s="9" t="n">
        <v>46314</v>
      </c>
      <c r="E761" s="10" t="s">
        <v>20</v>
      </c>
      <c r="F761" s="10" t="s">
        <v>21</v>
      </c>
      <c r="G761" s="10" t="s">
        <v>22</v>
      </c>
      <c r="H761" s="10" t="s">
        <v>24</v>
      </c>
      <c r="I761" s="11" t="s">
        <v>1007</v>
      </c>
      <c r="J761" s="10" t="n">
        <f aca="false">IF(COUNTIFS($E$2:E761,E761,$A$2:A761,A761)=1,1,0)</f>
        <v>1</v>
      </c>
    </row>
    <row r="762" customFormat="false" ht="15" hidden="false" customHeight="false" outlineLevel="0" collapsed="false">
      <c r="A762" s="9" t="n">
        <v>46311</v>
      </c>
      <c r="B762" s="10" t="s">
        <v>1006</v>
      </c>
      <c r="C762" s="10" t="s">
        <v>359</v>
      </c>
      <c r="D762" s="9" t="n">
        <v>46314</v>
      </c>
      <c r="E762" s="10" t="s">
        <v>358</v>
      </c>
      <c r="F762" s="10" t="s">
        <v>177</v>
      </c>
      <c r="G762" s="10" t="s">
        <v>16</v>
      </c>
      <c r="H762" s="10" t="s">
        <v>360</v>
      </c>
      <c r="I762" s="11" t="s">
        <v>1007</v>
      </c>
      <c r="J762" s="10" t="n">
        <f aca="false">IF(COUNTIFS($E$2:E762,E762,$A$2:A762,A762)=1,1,0)</f>
        <v>1</v>
      </c>
    </row>
    <row r="763" customFormat="false" ht="15" hidden="false" customHeight="false" outlineLevel="0" collapsed="false">
      <c r="A763" s="9" t="n">
        <v>46311</v>
      </c>
      <c r="B763" s="10" t="s">
        <v>1006</v>
      </c>
      <c r="C763" s="10" t="s">
        <v>411</v>
      </c>
      <c r="D763" s="9" t="n">
        <v>46316</v>
      </c>
      <c r="E763" s="10" t="s">
        <v>409</v>
      </c>
      <c r="F763" s="10" t="s">
        <v>27</v>
      </c>
      <c r="G763" s="10" t="s">
        <v>410</v>
      </c>
      <c r="H763" s="10"/>
      <c r="I763" s="11" t="s">
        <v>1007</v>
      </c>
      <c r="J763" s="10" t="n">
        <f aca="false">IF(COUNTIFS($E$2:E763,E763,$A$2:A763,A763)=1,1,0)</f>
        <v>1</v>
      </c>
    </row>
    <row r="764" customFormat="false" ht="15" hidden="false" customHeight="false" outlineLevel="0" collapsed="false">
      <c r="A764" s="9" t="n">
        <v>46311</v>
      </c>
      <c r="B764" s="10" t="s">
        <v>1006</v>
      </c>
      <c r="C764" s="10" t="s">
        <v>327</v>
      </c>
      <c r="D764" s="9" t="n">
        <v>46316</v>
      </c>
      <c r="E764" s="10" t="s">
        <v>325</v>
      </c>
      <c r="F764" s="10" t="s">
        <v>21</v>
      </c>
      <c r="G764" s="10" t="s">
        <v>326</v>
      </c>
      <c r="H764" s="10"/>
      <c r="I764" s="11" t="s">
        <v>1007</v>
      </c>
      <c r="J764" s="10" t="n">
        <f aca="false">IF(COUNTIFS($E$2:E764,E764,$A$2:A764,A764)=1,1,0)</f>
        <v>1</v>
      </c>
    </row>
    <row r="765" customFormat="false" ht="15" hidden="false" customHeight="false" outlineLevel="0" collapsed="false">
      <c r="A765" s="9" t="n">
        <v>46311</v>
      </c>
      <c r="B765" s="10" t="s">
        <v>1006</v>
      </c>
      <c r="C765" s="10" t="s">
        <v>135</v>
      </c>
      <c r="D765" s="9" t="n">
        <v>46317</v>
      </c>
      <c r="E765" s="10" t="s">
        <v>133</v>
      </c>
      <c r="F765" s="10" t="s">
        <v>33</v>
      </c>
      <c r="G765" s="10" t="s">
        <v>134</v>
      </c>
      <c r="H765" s="10"/>
      <c r="I765" s="11" t="s">
        <v>1007</v>
      </c>
      <c r="J765" s="10" t="n">
        <f aca="false">IF(COUNTIFS($E$2:E765,E765,$A$2:A765,A765)=1,1,0)</f>
        <v>1</v>
      </c>
    </row>
    <row r="766" customFormat="false" ht="15" hidden="false" customHeight="false" outlineLevel="0" collapsed="false">
      <c r="A766" s="9" t="n">
        <v>46311</v>
      </c>
      <c r="B766" s="10" t="s">
        <v>1006</v>
      </c>
      <c r="C766" s="10" t="s">
        <v>999</v>
      </c>
      <c r="D766" s="9" t="n">
        <v>46318</v>
      </c>
      <c r="E766" s="10" t="s">
        <v>158</v>
      </c>
      <c r="F766" s="10" t="s">
        <v>107</v>
      </c>
      <c r="G766" s="10" t="s">
        <v>147</v>
      </c>
      <c r="H766" s="10" t="s">
        <v>69</v>
      </c>
      <c r="I766" s="11" t="s">
        <v>1007</v>
      </c>
      <c r="J766" s="10" t="n">
        <f aca="false">IF(COUNTIFS($E$2:E766,E766,$A$2:A766,A766)=1,1,0)</f>
        <v>1</v>
      </c>
    </row>
    <row r="767" customFormat="false" ht="15" hidden="false" customHeight="false" outlineLevel="0" collapsed="false">
      <c r="A767" s="9" t="n">
        <v>46311</v>
      </c>
      <c r="B767" s="10" t="s">
        <v>1006</v>
      </c>
      <c r="C767" s="10" t="s">
        <v>1009</v>
      </c>
      <c r="D767" s="9" t="n">
        <v>46319</v>
      </c>
      <c r="E767" s="10" t="s">
        <v>262</v>
      </c>
      <c r="F767" s="10" t="s">
        <v>177</v>
      </c>
      <c r="G767" s="10" t="s">
        <v>263</v>
      </c>
      <c r="H767" s="10"/>
      <c r="I767" s="11" t="s">
        <v>1007</v>
      </c>
      <c r="J767" s="10" t="n">
        <f aca="false">IF(COUNTIFS($E$2:E767,E767,$A$2:A767,A767)=1,1,0)</f>
        <v>1</v>
      </c>
    </row>
    <row r="768" customFormat="false" ht="15" hidden="false" customHeight="false" outlineLevel="0" collapsed="false">
      <c r="A768" s="9" t="n">
        <v>46311</v>
      </c>
      <c r="B768" s="10" t="s">
        <v>1006</v>
      </c>
      <c r="C768" s="10" t="s">
        <v>1000</v>
      </c>
      <c r="D768" s="9" t="n">
        <v>46319</v>
      </c>
      <c r="E768" s="10" t="s">
        <v>76</v>
      </c>
      <c r="F768" s="10" t="s">
        <v>21</v>
      </c>
      <c r="G768" s="10" t="s">
        <v>77</v>
      </c>
      <c r="H768" s="10"/>
      <c r="I768" s="11" t="s">
        <v>1007</v>
      </c>
      <c r="J768" s="10" t="n">
        <f aca="false">IF(COUNTIFS($E$2:E768,E768,$A$2:A768,A768)=1,1,0)</f>
        <v>1</v>
      </c>
    </row>
    <row r="769" customFormat="false" ht="15" hidden="false" customHeight="false" outlineLevel="0" collapsed="false">
      <c r="A769" s="9" t="n">
        <v>46311</v>
      </c>
      <c r="B769" s="10" t="s">
        <v>1006</v>
      </c>
      <c r="C769" s="10" t="s">
        <v>78</v>
      </c>
      <c r="D769" s="9" t="n">
        <v>46320</v>
      </c>
      <c r="E769" s="10" t="s">
        <v>76</v>
      </c>
      <c r="F769" s="10" t="s">
        <v>21</v>
      </c>
      <c r="G769" s="10" t="s">
        <v>77</v>
      </c>
      <c r="H769" s="10"/>
      <c r="I769" s="11" t="s">
        <v>1007</v>
      </c>
      <c r="J769" s="10" t="n">
        <f aca="false">IF(COUNTIFS($E$2:E769,E769,$A$2:A769,A769)=1,1,0)</f>
        <v>0</v>
      </c>
    </row>
    <row r="770" customFormat="false" ht="15" hidden="false" customHeight="false" outlineLevel="0" collapsed="false">
      <c r="A770" s="9" t="n">
        <v>46311</v>
      </c>
      <c r="B770" s="10" t="s">
        <v>1006</v>
      </c>
      <c r="C770" s="10" t="s">
        <v>174</v>
      </c>
      <c r="D770" s="9" t="n">
        <v>46320</v>
      </c>
      <c r="E770" s="10" t="s">
        <v>172</v>
      </c>
      <c r="F770" s="10" t="s">
        <v>15</v>
      </c>
      <c r="G770" s="10" t="s">
        <v>173</v>
      </c>
      <c r="H770" s="10" t="s">
        <v>175</v>
      </c>
      <c r="I770" s="11" t="s">
        <v>1007</v>
      </c>
      <c r="J770" s="10" t="n">
        <f aca="false">IF(COUNTIFS($E$2:E770,E770,$A$2:A770,A770)=1,1,0)</f>
        <v>1</v>
      </c>
    </row>
    <row r="771" customFormat="false" ht="15" hidden="false" customHeight="false" outlineLevel="0" collapsed="false">
      <c r="A771" s="9" t="n">
        <v>46311</v>
      </c>
      <c r="B771" s="10" t="s">
        <v>1006</v>
      </c>
      <c r="C771" s="10" t="s">
        <v>1010</v>
      </c>
      <c r="D771" s="9" t="n">
        <v>46320</v>
      </c>
      <c r="E771" s="10" t="s">
        <v>20</v>
      </c>
      <c r="F771" s="10" t="s">
        <v>21</v>
      </c>
      <c r="G771" s="10" t="s">
        <v>22</v>
      </c>
      <c r="H771" s="10" t="s">
        <v>24</v>
      </c>
      <c r="I771" s="11" t="s">
        <v>1007</v>
      </c>
      <c r="J771" s="10" t="n">
        <f aca="false">IF(COUNTIFS($E$2:E771,E771,$A$2:A771,A771)=1,1,0)</f>
        <v>0</v>
      </c>
    </row>
    <row r="772" customFormat="false" ht="15" hidden="false" customHeight="false" outlineLevel="0" collapsed="false">
      <c r="A772" s="9" t="n">
        <v>46311</v>
      </c>
      <c r="B772" s="10" t="s">
        <v>1006</v>
      </c>
      <c r="C772" s="10" t="s">
        <v>720</v>
      </c>
      <c r="D772" s="9" t="n">
        <v>46320</v>
      </c>
      <c r="E772" s="10" t="s">
        <v>14</v>
      </c>
      <c r="F772" s="10" t="s">
        <v>15</v>
      </c>
      <c r="G772" s="10" t="s">
        <v>16</v>
      </c>
      <c r="H772" s="10" t="s">
        <v>520</v>
      </c>
      <c r="I772" s="11" t="s">
        <v>1007</v>
      </c>
      <c r="J772" s="10" t="n">
        <f aca="false">IF(COUNTIFS($E$2:E772,E772,$A$2:A772,A772)=1,1,0)</f>
        <v>1</v>
      </c>
    </row>
    <row r="773" customFormat="false" ht="15" hidden="false" customHeight="false" outlineLevel="0" collapsed="false">
      <c r="A773" s="9" t="n">
        <v>46311</v>
      </c>
      <c r="B773" s="10" t="s">
        <v>1006</v>
      </c>
      <c r="C773" s="10" t="s">
        <v>1011</v>
      </c>
      <c r="D773" s="9" t="n">
        <v>46320</v>
      </c>
      <c r="E773" s="10" t="s">
        <v>48</v>
      </c>
      <c r="F773" s="10" t="s">
        <v>33</v>
      </c>
      <c r="G773" s="10" t="s">
        <v>49</v>
      </c>
      <c r="H773" s="10" t="s">
        <v>908</v>
      </c>
      <c r="I773" s="11" t="s">
        <v>1007</v>
      </c>
      <c r="J773" s="10" t="n">
        <f aca="false">IF(COUNTIFS($E$2:E773,E773,$A$2:A773,A773)=1,1,0)</f>
        <v>1</v>
      </c>
    </row>
    <row r="774" customFormat="false" ht="15" hidden="false" customHeight="false" outlineLevel="0" collapsed="false">
      <c r="A774" s="9" t="n">
        <v>46311</v>
      </c>
      <c r="B774" s="10" t="s">
        <v>1006</v>
      </c>
      <c r="C774" s="10" t="s">
        <v>64</v>
      </c>
      <c r="D774" s="9" t="n">
        <v>46321</v>
      </c>
      <c r="E774" s="10" t="s">
        <v>62</v>
      </c>
      <c r="F774" s="10" t="s">
        <v>15</v>
      </c>
      <c r="G774" s="10" t="s">
        <v>63</v>
      </c>
      <c r="H774" s="10"/>
      <c r="I774" s="11" t="s">
        <v>1007</v>
      </c>
      <c r="J774" s="10" t="n">
        <f aca="false">IF(COUNTIFS($E$2:E774,E774,$A$2:A774,A774)=1,1,0)</f>
        <v>0</v>
      </c>
    </row>
    <row r="775" customFormat="false" ht="15" hidden="false" customHeight="false" outlineLevel="0" collapsed="false">
      <c r="A775" s="9" t="n">
        <v>46311</v>
      </c>
      <c r="B775" s="10" t="s">
        <v>1006</v>
      </c>
      <c r="C775" s="10" t="s">
        <v>98</v>
      </c>
      <c r="D775" s="9" t="n">
        <v>46321</v>
      </c>
      <c r="E775" s="10" t="s">
        <v>96</v>
      </c>
      <c r="F775" s="10" t="s">
        <v>33</v>
      </c>
      <c r="G775" s="10" t="s">
        <v>97</v>
      </c>
      <c r="H775" s="10"/>
      <c r="I775" s="11" t="s">
        <v>1007</v>
      </c>
      <c r="J775" s="10" t="n">
        <f aca="false">IF(COUNTIFS($E$2:E775,E775,$A$2:A775,A775)=1,1,0)</f>
        <v>1</v>
      </c>
    </row>
    <row r="776" customFormat="false" ht="15" hidden="false" customHeight="false" outlineLevel="0" collapsed="false">
      <c r="A776" s="9" t="n">
        <v>46311</v>
      </c>
      <c r="B776" s="10" t="s">
        <v>1006</v>
      </c>
      <c r="C776" s="10" t="s">
        <v>68</v>
      </c>
      <c r="D776" s="9" t="n">
        <v>46323</v>
      </c>
      <c r="E776" s="10" t="s">
        <v>66</v>
      </c>
      <c r="F776" s="10" t="s">
        <v>33</v>
      </c>
      <c r="G776" s="10" t="s">
        <v>67</v>
      </c>
      <c r="H776" s="10" t="s">
        <v>69</v>
      </c>
      <c r="I776" s="11" t="s">
        <v>1007</v>
      </c>
      <c r="J776" s="10" t="n">
        <f aca="false">IF(COUNTIFS($E$2:E776,E776,$A$2:A776,A776)=1,1,0)</f>
        <v>1</v>
      </c>
    </row>
    <row r="777" customFormat="false" ht="15" hidden="false" customHeight="false" outlineLevel="0" collapsed="false">
      <c r="A777" s="9" t="n">
        <v>46311</v>
      </c>
      <c r="B777" s="10" t="s">
        <v>1006</v>
      </c>
      <c r="C777" s="10" t="s">
        <v>188</v>
      </c>
      <c r="D777" s="9" t="n">
        <v>46323</v>
      </c>
      <c r="E777" s="10" t="s">
        <v>186</v>
      </c>
      <c r="F777" s="10" t="s">
        <v>33</v>
      </c>
      <c r="G777" s="10" t="s">
        <v>187</v>
      </c>
      <c r="H777" s="10"/>
      <c r="I777" s="11" t="s">
        <v>1007</v>
      </c>
      <c r="J777" s="10" t="n">
        <f aca="false">IF(COUNTIFS($E$2:E777,E777,$A$2:A777,A777)=1,1,0)</f>
        <v>1</v>
      </c>
    </row>
    <row r="778" customFormat="false" ht="15" hidden="false" customHeight="false" outlineLevel="0" collapsed="false">
      <c r="A778" s="9" t="n">
        <v>46311</v>
      </c>
      <c r="B778" s="10" t="s">
        <v>1006</v>
      </c>
      <c r="C778" s="10" t="s">
        <v>270</v>
      </c>
      <c r="D778" s="9" t="n">
        <v>46324</v>
      </c>
      <c r="E778" s="10" t="s">
        <v>269</v>
      </c>
      <c r="F778" s="10" t="s">
        <v>177</v>
      </c>
      <c r="G778" s="10" t="s">
        <v>217</v>
      </c>
      <c r="H778" s="10" t="s">
        <v>271</v>
      </c>
      <c r="I778" s="11" t="s">
        <v>1007</v>
      </c>
      <c r="J778" s="10" t="n">
        <f aca="false">IF(COUNTIFS($E$2:E778,E778,$A$2:A778,A778)=1,1,0)</f>
        <v>1</v>
      </c>
    </row>
    <row r="779" customFormat="false" ht="15" hidden="false" customHeight="false" outlineLevel="0" collapsed="false">
      <c r="A779" s="9" t="n">
        <v>46311</v>
      </c>
      <c r="B779" s="10" t="s">
        <v>1006</v>
      </c>
      <c r="C779" s="10" t="s">
        <v>959</v>
      </c>
      <c r="D779" s="9" t="n">
        <v>46324</v>
      </c>
      <c r="E779" s="10" t="s">
        <v>38</v>
      </c>
      <c r="F779" s="10" t="s">
        <v>15</v>
      </c>
      <c r="G779" s="10" t="s">
        <v>39</v>
      </c>
      <c r="H779" s="10"/>
      <c r="I779" s="11" t="s">
        <v>1007</v>
      </c>
      <c r="J779" s="10" t="n">
        <f aca="false">IF(COUNTIFS($E$2:E779,E779,$A$2:A779,A779)=1,1,0)</f>
        <v>0</v>
      </c>
    </row>
    <row r="780" customFormat="false" ht="15" hidden="false" customHeight="false" outlineLevel="0" collapsed="false">
      <c r="A780" s="9" t="n">
        <v>46311</v>
      </c>
      <c r="B780" s="10" t="s">
        <v>1006</v>
      </c>
      <c r="C780" s="10" t="s">
        <v>35</v>
      </c>
      <c r="D780" s="9" t="n">
        <v>46324</v>
      </c>
      <c r="E780" s="10" t="s">
        <v>32</v>
      </c>
      <c r="F780" s="10" t="s">
        <v>33</v>
      </c>
      <c r="G780" s="10" t="s">
        <v>34</v>
      </c>
      <c r="H780" s="10" t="s">
        <v>36</v>
      </c>
      <c r="I780" s="11" t="s">
        <v>1007</v>
      </c>
      <c r="J780" s="10" t="n">
        <f aca="false">IF(COUNTIFS($E$2:E780,E780,$A$2:A780,A780)=1,1,0)</f>
        <v>1</v>
      </c>
    </row>
    <row r="781" customFormat="false" ht="15" hidden="false" customHeight="false" outlineLevel="0" collapsed="false">
      <c r="A781" s="9" t="n">
        <v>46311</v>
      </c>
      <c r="B781" s="10" t="s">
        <v>1006</v>
      </c>
      <c r="C781" s="10" t="s">
        <v>539</v>
      </c>
      <c r="D781" s="9" t="n">
        <v>46324</v>
      </c>
      <c r="E781" s="10" t="s">
        <v>537</v>
      </c>
      <c r="F781" s="10" t="s">
        <v>33</v>
      </c>
      <c r="G781" s="10" t="s">
        <v>538</v>
      </c>
      <c r="H781" s="10" t="s">
        <v>540</v>
      </c>
      <c r="I781" s="11" t="s">
        <v>1007</v>
      </c>
      <c r="J781" s="10" t="n">
        <f aca="false">IF(COUNTIFS($E$2:E781,E781,$A$2:A781,A781)=1,1,0)</f>
        <v>1</v>
      </c>
    </row>
    <row r="782" customFormat="false" ht="15" hidden="false" customHeight="false" outlineLevel="0" collapsed="false">
      <c r="A782" s="9" t="n">
        <v>46311</v>
      </c>
      <c r="B782" s="10" t="s">
        <v>1006</v>
      </c>
      <c r="C782" s="10" t="s">
        <v>224</v>
      </c>
      <c r="D782" s="9" t="n">
        <v>46325</v>
      </c>
      <c r="E782" s="10" t="s">
        <v>222</v>
      </c>
      <c r="F782" s="10" t="s">
        <v>154</v>
      </c>
      <c r="G782" s="10" t="s">
        <v>223</v>
      </c>
      <c r="H782" s="10" t="s">
        <v>1012</v>
      </c>
      <c r="I782" s="11" t="s">
        <v>1007</v>
      </c>
      <c r="J782" s="10" t="n">
        <f aca="false">IF(COUNTIFS($E$2:E782,E782,$A$2:A782,A782)=1,1,0)</f>
        <v>1</v>
      </c>
    </row>
    <row r="783" customFormat="false" ht="15" hidden="false" customHeight="false" outlineLevel="0" collapsed="false">
      <c r="A783" s="9" t="n">
        <v>46311</v>
      </c>
      <c r="B783" s="10" t="s">
        <v>1006</v>
      </c>
      <c r="C783" s="10" t="s">
        <v>1013</v>
      </c>
      <c r="D783" s="9" t="n">
        <v>46325</v>
      </c>
      <c r="E783" s="10" t="s">
        <v>38</v>
      </c>
      <c r="F783" s="10" t="s">
        <v>15</v>
      </c>
      <c r="G783" s="10" t="s">
        <v>39</v>
      </c>
      <c r="H783" s="10"/>
      <c r="I783" s="11" t="s">
        <v>1007</v>
      </c>
      <c r="J783" s="10" t="n">
        <f aca="false">IF(COUNTIFS($E$2:E783,E783,$A$2:A783,A783)=1,1,0)</f>
        <v>0</v>
      </c>
    </row>
    <row r="784" customFormat="false" ht="15" hidden="false" customHeight="false" outlineLevel="0" collapsed="false">
      <c r="A784" s="9" t="n">
        <v>46311</v>
      </c>
      <c r="B784" s="10" t="s">
        <v>1006</v>
      </c>
      <c r="C784" s="10" t="s">
        <v>29</v>
      </c>
      <c r="D784" s="9" t="n">
        <v>46325</v>
      </c>
      <c r="E784" s="10" t="s">
        <v>26</v>
      </c>
      <c r="F784" s="10" t="s">
        <v>27</v>
      </c>
      <c r="G784" s="10" t="s">
        <v>28</v>
      </c>
      <c r="H784" s="10" t="s">
        <v>670</v>
      </c>
      <c r="I784" s="11" t="s">
        <v>1007</v>
      </c>
      <c r="J784" s="10" t="n">
        <f aca="false">IF(COUNTIFS($E$2:E784,E784,$A$2:A784,A784)=1,1,0)</f>
        <v>1</v>
      </c>
    </row>
    <row r="785" customFormat="false" ht="15" hidden="false" customHeight="false" outlineLevel="0" collapsed="false">
      <c r="A785" s="9" t="n">
        <v>46311</v>
      </c>
      <c r="B785" s="10" t="s">
        <v>1006</v>
      </c>
      <c r="C785" s="10" t="s">
        <v>23</v>
      </c>
      <c r="D785" s="9" t="n">
        <v>46325</v>
      </c>
      <c r="E785" s="10" t="s">
        <v>20</v>
      </c>
      <c r="F785" s="10" t="s">
        <v>21</v>
      </c>
      <c r="G785" s="10" t="s">
        <v>22</v>
      </c>
      <c r="H785" s="10" t="s">
        <v>1004</v>
      </c>
      <c r="I785" s="11" t="s">
        <v>1007</v>
      </c>
      <c r="J785" s="10" t="n">
        <f aca="false">IF(COUNTIFS($E$2:E785,E785,$A$2:A785,A785)=1,1,0)</f>
        <v>0</v>
      </c>
    </row>
    <row r="786" customFormat="false" ht="15" hidden="false" customHeight="false" outlineLevel="0" collapsed="false">
      <c r="A786" s="9" t="n">
        <v>46311</v>
      </c>
      <c r="B786" s="10" t="s">
        <v>1006</v>
      </c>
      <c r="C786" s="10" t="s">
        <v>103</v>
      </c>
      <c r="D786" s="9" t="n">
        <v>46326</v>
      </c>
      <c r="E786" s="10" t="s">
        <v>101</v>
      </c>
      <c r="F786" s="10" t="s">
        <v>21</v>
      </c>
      <c r="G786" s="10" t="s">
        <v>102</v>
      </c>
      <c r="H786" s="10" t="s">
        <v>104</v>
      </c>
      <c r="I786" s="11" t="s">
        <v>1007</v>
      </c>
      <c r="J786" s="10" t="n">
        <f aca="false">IF(COUNTIFS($E$2:E786,E786,$A$2:A786,A786)=1,1,0)</f>
        <v>1</v>
      </c>
    </row>
    <row r="787" customFormat="false" ht="15" hidden="false" customHeight="false" outlineLevel="0" collapsed="false">
      <c r="A787" s="9" t="n">
        <v>46311</v>
      </c>
      <c r="B787" s="10" t="s">
        <v>1006</v>
      </c>
      <c r="C787" s="10" t="s">
        <v>197</v>
      </c>
      <c r="D787" s="9" t="n">
        <v>46326</v>
      </c>
      <c r="E787" s="10" t="s">
        <v>196</v>
      </c>
      <c r="F787" s="10" t="s">
        <v>44</v>
      </c>
      <c r="G787" s="10" t="s">
        <v>102</v>
      </c>
      <c r="H787" s="10" t="s">
        <v>198</v>
      </c>
      <c r="I787" s="11" t="s">
        <v>1007</v>
      </c>
      <c r="J787" s="10" t="n">
        <f aca="false">IF(COUNTIFS($E$2:E787,E787,$A$2:A787,A787)=1,1,0)</f>
        <v>1</v>
      </c>
    </row>
    <row r="788" customFormat="false" ht="15" hidden="false" customHeight="false" outlineLevel="0" collapsed="false">
      <c r="A788" s="9" t="n">
        <v>46311</v>
      </c>
      <c r="B788" s="10" t="s">
        <v>1006</v>
      </c>
      <c r="C788" s="10" t="s">
        <v>122</v>
      </c>
      <c r="D788" s="9" t="n">
        <v>46326</v>
      </c>
      <c r="E788" s="10" t="s">
        <v>120</v>
      </c>
      <c r="F788" s="10" t="s">
        <v>15</v>
      </c>
      <c r="G788" s="10" t="s">
        <v>121</v>
      </c>
      <c r="H788" s="10"/>
      <c r="I788" s="11" t="s">
        <v>1007</v>
      </c>
      <c r="J788" s="10" t="n">
        <f aca="false">IF(COUNTIFS($E$2:E788,E788,$A$2:A788,A788)=1,1,0)</f>
        <v>1</v>
      </c>
    </row>
    <row r="789" customFormat="false" ht="15" hidden="false" customHeight="false" outlineLevel="0" collapsed="false">
      <c r="A789" s="9" t="n">
        <v>46311</v>
      </c>
      <c r="B789" s="10" t="s">
        <v>1006</v>
      </c>
      <c r="C789" s="10" t="s">
        <v>17</v>
      </c>
      <c r="D789" s="9" t="n">
        <v>46326</v>
      </c>
      <c r="E789" s="10" t="s">
        <v>14</v>
      </c>
      <c r="F789" s="10" t="s">
        <v>15</v>
      </c>
      <c r="G789" s="10" t="s">
        <v>16</v>
      </c>
      <c r="H789" s="10"/>
      <c r="I789" s="11" t="s">
        <v>1007</v>
      </c>
      <c r="J789" s="10" t="n">
        <f aca="false">IF(COUNTIFS($E$2:E789,E789,$A$2:A789,A789)=1,1,0)</f>
        <v>0</v>
      </c>
    </row>
    <row r="790" customFormat="false" ht="15" hidden="false" customHeight="false" outlineLevel="0" collapsed="false">
      <c r="A790" s="9" t="n">
        <v>46311</v>
      </c>
      <c r="B790" s="10" t="s">
        <v>1006</v>
      </c>
      <c r="C790" s="10" t="s">
        <v>1014</v>
      </c>
      <c r="D790" s="9" t="n">
        <v>46326</v>
      </c>
      <c r="E790" s="10" t="s">
        <v>48</v>
      </c>
      <c r="F790" s="10" t="s">
        <v>33</v>
      </c>
      <c r="G790" s="10" t="s">
        <v>49</v>
      </c>
      <c r="H790" s="10"/>
      <c r="I790" s="11" t="s">
        <v>1007</v>
      </c>
      <c r="J790" s="10" t="n">
        <f aca="false">IF(COUNTIFS($E$2:E790,E790,$A$2:A790,A790)=1,1,0)</f>
        <v>0</v>
      </c>
    </row>
    <row r="791" customFormat="false" ht="15" hidden="false" customHeight="false" outlineLevel="0" collapsed="false">
      <c r="A791" s="9" t="n">
        <v>46311</v>
      </c>
      <c r="B791" s="10" t="s">
        <v>1006</v>
      </c>
      <c r="C791" s="10" t="s">
        <v>50</v>
      </c>
      <c r="D791" s="9" t="n">
        <v>46327</v>
      </c>
      <c r="E791" s="10" t="s">
        <v>48</v>
      </c>
      <c r="F791" s="10" t="s">
        <v>33</v>
      </c>
      <c r="G791" s="10" t="s">
        <v>49</v>
      </c>
      <c r="H791" s="10"/>
      <c r="I791" s="11" t="s">
        <v>1007</v>
      </c>
      <c r="J791" s="10" t="n">
        <f aca="false">IF(COUNTIFS($E$2:E791,E791,$A$2:A791,A791)=1,1,0)</f>
        <v>0</v>
      </c>
    </row>
    <row r="792" customFormat="false" ht="15" hidden="false" customHeight="false" outlineLevel="0" collapsed="false">
      <c r="A792" s="9" t="n">
        <v>46311</v>
      </c>
      <c r="B792" s="10" t="s">
        <v>1006</v>
      </c>
      <c r="C792" s="10" t="s">
        <v>264</v>
      </c>
      <c r="D792" s="9" t="n">
        <v>46329</v>
      </c>
      <c r="E792" s="10" t="s">
        <v>262</v>
      </c>
      <c r="F792" s="10" t="s">
        <v>177</v>
      </c>
      <c r="G792" s="10" t="s">
        <v>263</v>
      </c>
      <c r="H792" s="10" t="s">
        <v>265</v>
      </c>
      <c r="I792" s="11" t="s">
        <v>1007</v>
      </c>
      <c r="J792" s="10" t="n">
        <f aca="false">IF(COUNTIFS($E$2:E792,E792,$A$2:A792,A792)=1,1,0)</f>
        <v>0</v>
      </c>
    </row>
    <row r="793" customFormat="false" ht="15" hidden="false" customHeight="false" outlineLevel="0" collapsed="false">
      <c r="A793" s="9" t="n">
        <v>46311</v>
      </c>
      <c r="B793" s="10" t="s">
        <v>1006</v>
      </c>
      <c r="C793" s="10" t="s">
        <v>499</v>
      </c>
      <c r="D793" s="9" t="n">
        <v>46329</v>
      </c>
      <c r="E793" s="10" t="s">
        <v>497</v>
      </c>
      <c r="F793" s="10" t="s">
        <v>107</v>
      </c>
      <c r="G793" s="10" t="s">
        <v>498</v>
      </c>
      <c r="H793" s="10" t="s">
        <v>500</v>
      </c>
      <c r="I793" s="11" t="s">
        <v>1007</v>
      </c>
      <c r="J793" s="10" t="n">
        <f aca="false">IF(COUNTIFS($E$2:E793,E793,$A$2:A793,A793)=1,1,0)</f>
        <v>1</v>
      </c>
    </row>
    <row r="794" customFormat="false" ht="15" hidden="false" customHeight="false" outlineLevel="0" collapsed="false">
      <c r="A794" s="9" t="n">
        <v>46311</v>
      </c>
      <c r="B794" s="10" t="s">
        <v>1006</v>
      </c>
      <c r="C794" s="10" t="s">
        <v>159</v>
      </c>
      <c r="D794" s="9" t="n">
        <v>46333</v>
      </c>
      <c r="E794" s="10" t="s">
        <v>158</v>
      </c>
      <c r="F794" s="10" t="s">
        <v>107</v>
      </c>
      <c r="G794" s="10" t="s">
        <v>147</v>
      </c>
      <c r="H794" s="10"/>
      <c r="I794" s="11" t="s">
        <v>1007</v>
      </c>
      <c r="J794" s="10" t="n">
        <f aca="false">IF(COUNTIFS($E$2:E794,E794,$A$2:A794,A794)=1,1,0)</f>
        <v>0</v>
      </c>
    </row>
    <row r="795" customFormat="false" ht="15" hidden="false" customHeight="false" outlineLevel="0" collapsed="false">
      <c r="A795" s="9" t="n">
        <v>46311</v>
      </c>
      <c r="B795" s="10" t="s">
        <v>1006</v>
      </c>
      <c r="C795" s="10" t="s">
        <v>40</v>
      </c>
      <c r="D795" s="9" t="n">
        <v>46333</v>
      </c>
      <c r="E795" s="10" t="s">
        <v>38</v>
      </c>
      <c r="F795" s="10" t="s">
        <v>15</v>
      </c>
      <c r="G795" s="10" t="s">
        <v>39</v>
      </c>
      <c r="H795" s="10"/>
      <c r="I795" s="11" t="s">
        <v>1007</v>
      </c>
      <c r="J795" s="10" t="n">
        <f aca="false">IF(COUNTIFS($E$2:E795,E795,$A$2:A795,A795)=1,1,0)</f>
        <v>0</v>
      </c>
    </row>
    <row r="796" customFormat="false" ht="15" hidden="false" customHeight="false" outlineLevel="0" collapsed="false">
      <c r="A796" s="9" t="n">
        <v>46311</v>
      </c>
      <c r="B796" s="10" t="s">
        <v>1006</v>
      </c>
      <c r="C796" s="10" t="s">
        <v>335</v>
      </c>
      <c r="D796" s="9" t="n">
        <v>46333</v>
      </c>
      <c r="E796" s="10" t="s">
        <v>333</v>
      </c>
      <c r="F796" s="10" t="s">
        <v>27</v>
      </c>
      <c r="G796" s="10" t="s">
        <v>334</v>
      </c>
      <c r="H796" s="10"/>
      <c r="I796" s="11" t="s">
        <v>1007</v>
      </c>
      <c r="J796" s="10" t="n">
        <f aca="false">IF(COUNTIFS($E$2:E796,E796,$A$2:A796,A796)=1,1,0)</f>
        <v>1</v>
      </c>
    </row>
    <row r="797" customFormat="false" ht="15" hidden="false" customHeight="false" outlineLevel="0" collapsed="false">
      <c r="A797" s="9" t="n">
        <v>46311</v>
      </c>
      <c r="B797" s="10" t="s">
        <v>1006</v>
      </c>
      <c r="C797" s="10" t="s">
        <v>425</v>
      </c>
      <c r="D797" s="9" t="n">
        <v>46338</v>
      </c>
      <c r="E797" s="10" t="s">
        <v>424</v>
      </c>
      <c r="F797" s="10" t="s">
        <v>21</v>
      </c>
      <c r="G797" s="10" t="s">
        <v>155</v>
      </c>
      <c r="H797" s="10" t="s">
        <v>426</v>
      </c>
      <c r="I797" s="11" t="s">
        <v>1007</v>
      </c>
      <c r="J797" s="10" t="n">
        <f aca="false">IF(COUNTIFS($E$2:E797,E797,$A$2:A797,A797)=1,1,0)</f>
        <v>1</v>
      </c>
    </row>
  </sheetData>
  <autoFilter ref="A1:J797"/>
  <hyperlinks>
    <hyperlink ref="I2" r:id="rId1" display="https://buttondown.com/nycofftech/archive/nyc-off-tech-october/"/>
    <hyperlink ref="I3" r:id="rId2" display="https://buttondown.com/nycofftech/archive/nyc-off-tech-october/"/>
    <hyperlink ref="I4" r:id="rId3" display="https://buttondown.com/nycofftech/archive/nyc-off-tech-october/"/>
    <hyperlink ref="I5" r:id="rId4" display="https://buttondown.com/nycofftech/archive/nyc-off-tech-october/"/>
    <hyperlink ref="I6" r:id="rId5" display="https://buttondown.com/nycofftech/archive/nyc-off-tech-october/"/>
    <hyperlink ref="I7" r:id="rId6" display="https://buttondown.com/nycofftech/archive/nyc-off-tech-october/"/>
    <hyperlink ref="I8" r:id="rId7" display="https://buttondown.com/nycofftech/archive/nyc-off-tech-october/"/>
    <hyperlink ref="I9" r:id="rId8" display="https://buttondown.com/nycofftech/archive/nyc-off-tech-october/"/>
    <hyperlink ref="I10" r:id="rId9" display="https://buttondown.com/nycofftech/archive/nyc-off-tech-october/"/>
    <hyperlink ref="I11" r:id="rId10" display="https://buttondown.com/nycofftech/archive/nyc-off-tech-october/"/>
    <hyperlink ref="I12" r:id="rId11" display="https://buttondown.com/nycofftech/archive/nyc-off-tech-october/"/>
    <hyperlink ref="I13" r:id="rId12" display="https://buttondown.com/nycofftech/archive/nyc-off-tech-october/"/>
    <hyperlink ref="I14" r:id="rId13" display="https://buttondown.com/nycofftech/archive/nyc-off-tech-october/"/>
    <hyperlink ref="I15" r:id="rId14" display="https://buttondown.com/nycofftech/archive/nyc-off-tech-october/"/>
    <hyperlink ref="I16" r:id="rId15" display="https://buttondown.com/nycofftech/archive/nyc-off-tech-october/"/>
    <hyperlink ref="I17" r:id="rId16" display="https://buttondown.com/nycofftech/archive/nyc-off-tech-mid-october-updates/"/>
    <hyperlink ref="I18" r:id="rId17" display="https://buttondown.com/nycofftech/archive/nyc-off-tech-mid-october-updates/"/>
    <hyperlink ref="I19" r:id="rId18" display="https://buttondown.com/nycofftech/archive/nyc-off-tech-mid-october-updates/"/>
    <hyperlink ref="I20" r:id="rId19" display="https://buttondown.com/nycofftech/archive/nyc-off-tech-november/"/>
    <hyperlink ref="I21" r:id="rId20" display="https://buttondown.com/nycofftech/archive/nyc-off-tech-november/"/>
    <hyperlink ref="I22" r:id="rId21" display="https://buttondown.com/nycofftech/archive/nyc-off-tech-november/"/>
    <hyperlink ref="I23" r:id="rId22" display="https://buttondown.com/nycofftech/archive/nyc-off-tech-november/"/>
    <hyperlink ref="I24" r:id="rId23" display="https://buttondown.com/nycofftech/archive/nyc-off-tech-november/"/>
    <hyperlink ref="I25" r:id="rId24" display="https://buttondown.com/nycofftech/archive/nyc-off-tech-november/"/>
    <hyperlink ref="I26" r:id="rId25" display="https://buttondown.com/nycofftech/archive/nyc-off-tech-november/"/>
    <hyperlink ref="I27" r:id="rId26" display="https://buttondown.com/nycofftech/archive/nyc-off-tech-november/"/>
    <hyperlink ref="I28" r:id="rId27" display="https://buttondown.com/nycofftech/archive/nyc-off-tech-november/"/>
    <hyperlink ref="I29" r:id="rId28" display="https://buttondown.com/nycofftech/archive/nyc-off-tech-november/"/>
    <hyperlink ref="I30" r:id="rId29" display="https://buttondown.com/nycofftech/archive/nyc-off-tech-november/"/>
    <hyperlink ref="I31" r:id="rId30" display="https://buttondown.com/nycofftech/archive/nyc-off-tech-november/"/>
    <hyperlink ref="I32" r:id="rId31" display="https://buttondown.com/nycofftech/archive/nyc-off-tech-november/"/>
    <hyperlink ref="I33" r:id="rId32" display="https://buttondown.com/nycofftech/archive/nyc-off-tech-november/"/>
    <hyperlink ref="I34" r:id="rId33" display="https://buttondown.com/nycofftech/archive/nyc-off-tech-november/"/>
    <hyperlink ref="I35" r:id="rId34" display="https://buttondown.com/nycofftech/archive/nyc-off-tech-november/"/>
    <hyperlink ref="I36" r:id="rId35" display="https://buttondown.com/nycofftech/archive/nyc-off-tech-november/"/>
    <hyperlink ref="I37" r:id="rId36" display="https://buttondown.com/nycofftech/archive/nyc-off-tech-november/"/>
    <hyperlink ref="I38" r:id="rId37" display="https://buttondown.com/nycofftech/archive/nyc-off-tech-november/"/>
    <hyperlink ref="I39" r:id="rId38" display="https://buttondown.com/nycofftech/archive/nyc-off-tech-november/"/>
    <hyperlink ref="I40" r:id="rId39" display="https://buttondown.com/nycofftech/archive/nyc-off-tech-november/"/>
    <hyperlink ref="I41" r:id="rId40" display="https://buttondown.com/nycofftech/archive/nyc-off-tech-mid-november-updates/"/>
    <hyperlink ref="I42" r:id="rId41" display="https://buttondown.com/nycofftech/archive/nyc-off-tech-mid-november-updates/"/>
    <hyperlink ref="I43" r:id="rId42" display="https://buttondown.com/nycofftech/archive/nyc-off-tech-mid-november-updates/"/>
    <hyperlink ref="I44" r:id="rId43" display="https://buttondown.com/nycofftech/archive/nyc-off-tech-mid-november-updates/"/>
    <hyperlink ref="I45" r:id="rId44" display="https://buttondown.com/nycofftech/archive/nyc-off-tech-mid-november-updates/"/>
    <hyperlink ref="I46" r:id="rId45" display="https://buttondown.com/nycofftech/archive/nyc-off-tech-mid-november-updates/"/>
    <hyperlink ref="I47" r:id="rId46" display="https://buttondown.com/nycofftech/archive/nyc-off-tech-mid-november-updates/"/>
    <hyperlink ref="I48" r:id="rId47" display="https://buttondown.com/nycofftech/archive/nyc-off-tech-mid-november-updates/"/>
    <hyperlink ref="I49" r:id="rId48" display="https://buttondown.com/nycofftech/archive/nyc-off-tech-mid-november-updates/"/>
    <hyperlink ref="I50" r:id="rId49" display="https://buttondown.com/nycofftech/archive/nyc-off-tech-mid-november-updates/"/>
    <hyperlink ref="I51" r:id="rId50" display="https://buttondown.com/nycofftech/archive/nyc-off-tech-mid-november-updates/"/>
    <hyperlink ref="I52" r:id="rId51" display="https://buttondown.com/nycofftech/archive/nyc-off-tech-mid-november-updates/"/>
    <hyperlink ref="I53" r:id="rId52" display="https://buttondown.com/nycofftech/archive/nyc-off-tech-december/"/>
    <hyperlink ref="I54" r:id="rId53" display="https://buttondown.com/nycofftech/archive/nyc-off-tech-december/"/>
    <hyperlink ref="I55" r:id="rId54" display="https://buttondown.com/nycofftech/archive/nyc-off-tech-december/"/>
    <hyperlink ref="I56" r:id="rId55" display="https://buttondown.com/nycofftech/archive/nyc-off-tech-december/"/>
    <hyperlink ref="I57" r:id="rId56" display="https://buttondown.com/nycofftech/archive/nyc-off-tech-december/"/>
    <hyperlink ref="I58" r:id="rId57" display="https://buttondown.com/nycofftech/archive/nyc-off-tech-december/"/>
    <hyperlink ref="I59" r:id="rId58" display="https://buttondown.com/nycofftech/archive/nyc-off-tech-december/"/>
    <hyperlink ref="I60" r:id="rId59" display="https://buttondown.com/nycofftech/archive/nyc-off-tech-december/"/>
    <hyperlink ref="I61" r:id="rId60" display="https://buttondown.com/nycofftech/archive/nyc-off-tech-december/"/>
    <hyperlink ref="I62" r:id="rId61" display="https://buttondown.com/nycofftech/archive/nyc-off-tech-december/"/>
    <hyperlink ref="I63" r:id="rId62" display="https://buttondown.com/nycofftech/archive/nyc-off-tech-december/"/>
    <hyperlink ref="I64" r:id="rId63" display="https://buttondown.com/nycofftech/archive/nyc-off-tech-december/"/>
    <hyperlink ref="I65" r:id="rId64" display="https://buttondown.com/nycofftech/archive/nyc-off-tech-december/"/>
    <hyperlink ref="I66" r:id="rId65" display="https://buttondown.com/nycofftech/archive/nyc-off-tech-december/"/>
    <hyperlink ref="I67" r:id="rId66" display="https://buttondown.com/nycofftech/archive/nyc-off-tech-december/"/>
    <hyperlink ref="I68" r:id="rId67" display="https://buttondown.com/nycofftech/archive/nyc-off-tech-december/"/>
    <hyperlink ref="I69" r:id="rId68" display="https://buttondown.com/nycofftech/archive/nyc-off-tech-december/"/>
    <hyperlink ref="I70" r:id="rId69" display="https://buttondown.com/nycofftech/archive/nyc-off-tech-december/"/>
    <hyperlink ref="I71" r:id="rId70" display="https://buttondown.com/nycofftech/archive/nyc-off-tech-december/"/>
    <hyperlink ref="I72" r:id="rId71" display="https://buttondown.com/nycofftech/archive/nyc-off-tech-december/"/>
    <hyperlink ref="I73" r:id="rId72" display="https://buttondown.com/nycofftech/archive/nyc-off-tech-mid-december-updates/"/>
    <hyperlink ref="I74" r:id="rId73" display="https://buttondown.com/nycofftech/archive/nyc-off-tech-mid-december-updates/"/>
    <hyperlink ref="I75" r:id="rId74" display="https://buttondown.com/nycofftech/archive/nyc-off-tech-mid-december-updates/"/>
    <hyperlink ref="I76" r:id="rId75" display="https://buttondown.com/nycofftech/archive/nyc-off-tech-mid-december-updates/"/>
    <hyperlink ref="I77" r:id="rId76" display="https://buttondown.com/nycofftech/archive/nyc-off-tech-mid-december-updates/"/>
    <hyperlink ref="I78" r:id="rId77" display="https://buttondown.com/nycofftech/archive/nyc-off-tech-mid-december-updates/"/>
    <hyperlink ref="I79" r:id="rId78" display="https://buttondown.com/nycofftech/archive/nyc-off-tech-mid-december-updates/"/>
    <hyperlink ref="I80" r:id="rId79" display="https://buttondown.com/nycofftech/archive/nyc-off-tech-mid-december-updates/"/>
    <hyperlink ref="I81" r:id="rId80" display="https://buttondown.com/nycofftech/archive/nyc-off-tech-mid-december-updates/"/>
    <hyperlink ref="I82" r:id="rId81" display="https://buttondown.com/nycofftech/archive/nyc-off-tech-january/"/>
    <hyperlink ref="I83" r:id="rId82" display="https://buttondown.com/nycofftech/archive/nyc-off-tech-january/"/>
    <hyperlink ref="I84" r:id="rId83" display="https://buttondown.com/nycofftech/archive/nyc-off-tech-january/"/>
    <hyperlink ref="I85" r:id="rId84" display="https://buttondown.com/nycofftech/archive/nyc-off-tech-january/"/>
    <hyperlink ref="I86" r:id="rId85" display="https://buttondown.com/nycofftech/archive/nyc-off-tech-january/"/>
    <hyperlink ref="I87" r:id="rId86" display="https://buttondown.com/nycofftech/archive/nyc-off-tech-january/"/>
    <hyperlink ref="I88" r:id="rId87" display="https://buttondown.com/nycofftech/archive/nyc-off-tech-january/"/>
    <hyperlink ref="I89" r:id="rId88" display="https://buttondown.com/nycofftech/archive/nyc-off-tech-january/"/>
    <hyperlink ref="I90" r:id="rId89" display="https://buttondown.com/nycofftech/archive/nyc-off-tech-january/"/>
    <hyperlink ref="I91" r:id="rId90" display="https://buttondown.com/nycofftech/archive/nyc-off-tech-january/"/>
    <hyperlink ref="I92" r:id="rId91" display="https://buttondown.com/nycofftech/archive/nyc-off-tech-january/"/>
    <hyperlink ref="I93" r:id="rId92" display="https://buttondown.com/nycofftech/archive/nyc-off-tech-january/"/>
    <hyperlink ref="I94" r:id="rId93" display="https://buttondown.com/nycofftech/archive/nyc-off-tech-january/"/>
    <hyperlink ref="I95" r:id="rId94" display="https://buttondown.com/nycofftech/archive/nyc-off-tech-january/"/>
    <hyperlink ref="I96" r:id="rId95" display="https://buttondown.com/nycofftech/archive/nyc-off-tech-january/"/>
    <hyperlink ref="I97" r:id="rId96" display="https://buttondown.com/nycofftech/archive/nyc-off-tech-january/"/>
    <hyperlink ref="I98" r:id="rId97" display="https://buttondown.com/nycofftech/archive/nyc-off-tech-january/"/>
    <hyperlink ref="I99" r:id="rId98" display="https://buttondown.com/nycofftech/archive/nyc-off-tech-january/"/>
    <hyperlink ref="I100" r:id="rId99" display="https://buttondown.com/nycofftech/archive/nyc-off-tech-january/"/>
    <hyperlink ref="I101" r:id="rId100" display="https://buttondown.com/nycofftech/archive/nyc-off-tech-mid-january-updates/"/>
    <hyperlink ref="I102" r:id="rId101" display="https://buttondown.com/nycofftech/archive/nyc-off-tech-mid-january-updates/"/>
    <hyperlink ref="I103" r:id="rId102" display="https://buttondown.com/nycofftech/archive/nyc-off-tech-mid-january-updates/"/>
    <hyperlink ref="I104" r:id="rId103" display="https://buttondown.com/nycofftech/archive/nyc-off-tech-mid-january-updates/"/>
    <hyperlink ref="I105" r:id="rId104" display="https://buttondown.com/nycofftech/archive/nyc-off-tech-mid-january-updates/"/>
    <hyperlink ref="I106" r:id="rId105" display="https://buttondown.com/nycofftech/archive/nyc-off-tech-mid-january-updates/"/>
    <hyperlink ref="I107" r:id="rId106" display="https://buttondown.com/nycofftech/archive/nyc-off-tech-mid-january-updates/"/>
    <hyperlink ref="I108" r:id="rId107" display="https://buttondown.com/nycofftech/archive/nyc-off-tech-mid-january-updates/"/>
    <hyperlink ref="I109" r:id="rId108" display="https://buttondown.com/nycofftech/archive/nyc-off-tech-mid-january-updates/"/>
    <hyperlink ref="I110" r:id="rId109" display="https://buttondown.com/nycofftech/archive/nyc-off-tech-mid-january-updates/"/>
    <hyperlink ref="I111" r:id="rId110" display="https://buttondown.com/nycofftech/archive/nyc-off-tech-mid-january-updates/"/>
    <hyperlink ref="I112" r:id="rId111" display="https://buttondown.com/nycofftech/archive/nyc-off-tech-mid-january-updates/"/>
    <hyperlink ref="I113" r:id="rId112" display="https://buttondown.com/nycofftech/archive/nyc-off-tech-mid-january-updates/"/>
    <hyperlink ref="I114" r:id="rId113" display="https://buttondown.com/nycofftech/archive/nyc-off-tech-mid-january-updates/"/>
    <hyperlink ref="I115" r:id="rId114" display="https://buttondown.com/nycofftech/archive/nyc-off-tech-mid-january-updates/"/>
    <hyperlink ref="I116" r:id="rId115" display="https://buttondown.com/nycofftech/archive/nyc-off-tech-mid-january-updates/"/>
    <hyperlink ref="I117" r:id="rId116" display="https://buttondown.com/nycofftech/archive/nyc-off-tech-mid-january-updates/"/>
    <hyperlink ref="I118" r:id="rId117" display="https://buttondown.com/nycofftech/archive/nyc-off-tech-february/"/>
    <hyperlink ref="I119" r:id="rId118" display="https://buttondown.com/nycofftech/archive/nyc-off-tech-february/"/>
    <hyperlink ref="I120" r:id="rId119" display="https://buttondown.com/nycofftech/archive/nyc-off-tech-february/"/>
    <hyperlink ref="I121" r:id="rId120" display="https://buttondown.com/nycofftech/archive/nyc-off-tech-february/"/>
    <hyperlink ref="I122" r:id="rId121" display="https://buttondown.com/nycofftech/archive/nyc-off-tech-february/"/>
    <hyperlink ref="I123" r:id="rId122" display="https://buttondown.com/nycofftech/archive/nyc-off-tech-february/"/>
    <hyperlink ref="I124" r:id="rId123" display="https://buttondown.com/nycofftech/archive/nyc-off-tech-february/"/>
    <hyperlink ref="I125" r:id="rId124" display="https://buttondown.com/nycofftech/archive/nyc-off-tech-february/"/>
    <hyperlink ref="I126" r:id="rId125" display="https://buttondown.com/nycofftech/archive/nyc-off-tech-february/"/>
    <hyperlink ref="I127" r:id="rId126" display="https://buttondown.com/nycofftech/archive/nyc-off-tech-february/"/>
    <hyperlink ref="I128" r:id="rId127" display="https://buttondown.com/nycofftech/archive/nyc-off-tech-february/"/>
    <hyperlink ref="I129" r:id="rId128" display="https://buttondown.com/nycofftech/archive/nyc-off-tech-february/"/>
    <hyperlink ref="I130" r:id="rId129" display="https://buttondown.com/nycofftech/archive/nyc-off-tech-february/"/>
    <hyperlink ref="I131" r:id="rId130" display="https://buttondown.com/nycofftech/archive/nyc-off-tech-february/"/>
    <hyperlink ref="I132" r:id="rId131" display="https://buttondown.com/nycofftech/archive/nyc-off-tech-february/"/>
    <hyperlink ref="I133" r:id="rId132" display="https://buttondown.com/nycofftech/archive/nyc-off-tech-february/"/>
    <hyperlink ref="I134" r:id="rId133" display="https://buttondown.com/nycofftech/archive/nyc-off-tech-february/"/>
    <hyperlink ref="I135" r:id="rId134" display="https://buttondown.com/nycofftech/archive/nyc-off-tech-february/"/>
    <hyperlink ref="I136" r:id="rId135" display="https://buttondown.com/nycofftech/archive/nyc-off-tech-february/"/>
    <hyperlink ref="I137" r:id="rId136" display="https://buttondown.com/nycofftech/archive/nyc-off-tech-february/"/>
    <hyperlink ref="I138" r:id="rId137" display="https://buttondown.com/nycofftech/archive/nyc-off-tech-mid-february-updates/"/>
    <hyperlink ref="I139" r:id="rId138" display="https://buttondown.com/nycofftech/archive/nyc-off-tech-mid-february-updates/"/>
    <hyperlink ref="I140" r:id="rId139" display="https://buttondown.com/nycofftech/archive/nyc-off-tech-mid-february-updates/"/>
    <hyperlink ref="I141" r:id="rId140" display="https://buttondown.com/nycofftech/archive/nyc-off-tech-mid-february-updates/"/>
    <hyperlink ref="I142" r:id="rId141" display="https://buttondown.com/nycofftech/archive/nyc-off-tech-mid-february-updates/"/>
    <hyperlink ref="I143" r:id="rId142" display="https://buttondown.com/nycofftech/archive/nyc-off-tech-mid-february-updates/"/>
    <hyperlink ref="I144" r:id="rId143" display="https://buttondown.com/nycofftech/archive/nyc-off-tech-mid-february-updates/"/>
    <hyperlink ref="I145" r:id="rId144" display="https://buttondown.com/nycofftech/archive/nyc-off-tech-mid-february-updates/"/>
    <hyperlink ref="I146" r:id="rId145" display="https://buttondown.com/nycofftech/archive/nyc-off-tech-mid-february-updates/"/>
    <hyperlink ref="I147" r:id="rId146" display="https://buttondown.com/nycofftech/archive/nyc-off-tech-mid-february-updates/"/>
    <hyperlink ref="I148" r:id="rId147" display="https://buttondown.com/nycofftech/archive/nyc-off-tech-mid-february-updates/"/>
    <hyperlink ref="I149" r:id="rId148" display="https://buttondown.com/nycofftech/archive/nyc-off-tech-mid-february-updates/"/>
    <hyperlink ref="I150" r:id="rId149" display="https://buttondown.com/nycofftech/archive/nyc-off-tech-mid-february-updates/"/>
    <hyperlink ref="I151" r:id="rId150" display="https://buttondown.com/nycofftech/archive/nyc-off-tech-mid-february-updates/"/>
    <hyperlink ref="I152" r:id="rId151" display="https://buttondown.com/nycofftech/archive/nyc-off-tech-mid-february-updates/"/>
    <hyperlink ref="I153" r:id="rId152" display="https://buttondown.com/nycofftech/archive/nyc-off-tech-march/"/>
    <hyperlink ref="I154" r:id="rId153" display="https://buttondown.com/nycofftech/archive/nyc-off-tech-march/"/>
    <hyperlink ref="I155" r:id="rId154" display="https://buttondown.com/nycofftech/archive/nyc-off-tech-march/"/>
    <hyperlink ref="I156" r:id="rId155" display="https://buttondown.com/nycofftech/archive/nyc-off-tech-march/"/>
    <hyperlink ref="I157" r:id="rId156" display="https://buttondown.com/nycofftech/archive/nyc-off-tech-march/"/>
    <hyperlink ref="I158" r:id="rId157" display="https://buttondown.com/nycofftech/archive/nyc-off-tech-march/"/>
    <hyperlink ref="I159" r:id="rId158" display="https://buttondown.com/nycofftech/archive/nyc-off-tech-march/"/>
    <hyperlink ref="I160" r:id="rId159" display="https://buttondown.com/nycofftech/archive/nyc-off-tech-march/"/>
    <hyperlink ref="I161" r:id="rId160" display="https://buttondown.com/nycofftech/archive/nyc-off-tech-march/"/>
    <hyperlink ref="I162" r:id="rId161" display="https://buttondown.com/nycofftech/archive/nyc-off-tech-march/"/>
    <hyperlink ref="I163" r:id="rId162" display="https://buttondown.com/nycofftech/archive/nyc-off-tech-march/"/>
    <hyperlink ref="I164" r:id="rId163" display="https://buttondown.com/nycofftech/archive/nyc-off-tech-march/"/>
    <hyperlink ref="I165" r:id="rId164" display="https://buttondown.com/nycofftech/archive/nyc-off-tech-march/"/>
    <hyperlink ref="I166" r:id="rId165" display="https://buttondown.com/nycofftech/archive/nyc-off-tech-march/"/>
    <hyperlink ref="I167" r:id="rId166" display="https://buttondown.com/nycofftech/archive/nyc-off-tech-march/"/>
    <hyperlink ref="I168" r:id="rId167" display="https://buttondown.com/nycofftech/archive/nyc-off-tech-march/"/>
    <hyperlink ref="I169" r:id="rId168" display="https://buttondown.com/nycofftech/archive/nyc-off-tech-march/"/>
    <hyperlink ref="I170" r:id="rId169" display="https://buttondown.com/nycofftech/archive/nyc-off-tech-march/"/>
    <hyperlink ref="I171" r:id="rId170" display="https://buttondown.com/nycofftech/archive/nyc-off-tech-march/"/>
    <hyperlink ref="I172" r:id="rId171" display="https://buttondown.com/nycofftech/archive/nyc-off-tech-march/"/>
    <hyperlink ref="I173" r:id="rId172" display="https://buttondown.com/nycofftech/archive/nyc-off-tech-march/"/>
    <hyperlink ref="I174" r:id="rId173" display="https://buttondown.com/nycofftech/archive/nyc-off-tech-march/"/>
    <hyperlink ref="I175" r:id="rId174" display="https://buttondown.com/nycofftech/archive/nyc-off-tech-march/"/>
    <hyperlink ref="I176" r:id="rId175" display="https://buttondown.com/nycofftech/archive/nyc-off-tech-march/"/>
    <hyperlink ref="I177" r:id="rId176" display="https://buttondown.com/nycofftech/archive/nyc-off-tech-march/"/>
    <hyperlink ref="I178" r:id="rId177" display="https://buttondown.com/nycofftech/archive/nyc-off-tech-march/"/>
    <hyperlink ref="I179" r:id="rId178" display="https://buttondown.com/nycofftech/archive/nyc-off-tech-march/"/>
    <hyperlink ref="I180" r:id="rId179" display="https://buttondown.com/nycofftech/archive/nyc-off-tech-march/"/>
    <hyperlink ref="I181" r:id="rId180" display="https://buttondown.com/nycofftech/archive/nyc-off-tech-march/"/>
    <hyperlink ref="I182" r:id="rId181" display="https://buttondown.com/nycofftech/archive/nyc-off-tech-mid-march-updates/"/>
    <hyperlink ref="I183" r:id="rId182" display="https://buttondown.com/nycofftech/archive/nyc-off-tech-mid-march-updates/"/>
    <hyperlink ref="I184" r:id="rId183" display="https://buttondown.com/nycofftech/archive/nyc-off-tech-mid-march-updates/"/>
    <hyperlink ref="I185" r:id="rId184" display="https://buttondown.com/nycofftech/archive/nyc-off-tech-mid-march-updates/"/>
    <hyperlink ref="I186" r:id="rId185" display="https://buttondown.com/nycofftech/archive/nyc-off-tech-mid-march-updates/"/>
    <hyperlink ref="I187" r:id="rId186" display="https://buttondown.com/nycofftech/archive/nyc-off-tech-mid-march-updates/"/>
    <hyperlink ref="I188" r:id="rId187" display="https://buttondown.com/nycofftech/archive/nyc-off-tech-mid-march-updates/"/>
    <hyperlink ref="I189" r:id="rId188" display="https://buttondown.com/nycofftech/archive/nyc-off-tech-mid-march-updates/"/>
    <hyperlink ref="I190" r:id="rId189" display="https://buttondown.com/nycofftech/archive/nyc-off-tech-mid-march-updates/"/>
    <hyperlink ref="I191" r:id="rId190" display="https://buttondown.com/nycofftech/archive/nyc-off-tech-mid-march-updates/"/>
    <hyperlink ref="I192" r:id="rId191" display="https://buttondown.com/nycofftech/archive/nyc-off-tech-mid-march-updates/"/>
    <hyperlink ref="I193" r:id="rId192" display="https://buttondown.com/nycofftech/archive/nyc-off-tech-mid-march-updates/"/>
    <hyperlink ref="I194" r:id="rId193" display="https://buttondown.com/nycofftech/archive/nyc-off-tech-mid-march-updates/"/>
    <hyperlink ref="I195" r:id="rId194" display="https://buttondown.com/nycofftech/archive/nyc-off-tech-mid-march-updates/"/>
    <hyperlink ref="I196" r:id="rId195" display="https://buttondown.com/nycofftech/archive/nyc-off-tech-mid-march-updates/"/>
    <hyperlink ref="I197" r:id="rId196" display="https://buttondown.com/nycofftech/archive/nyc-off-tech-mid-march-updates/"/>
    <hyperlink ref="I198" r:id="rId197" display="https://buttondown.com/nycofftech/archive/nyc-off-tech-mid-march-updates/"/>
    <hyperlink ref="I199" r:id="rId198" display="https://buttondown.com/nycofftech/archive/nyc-off-tech-mid-march-updates/"/>
    <hyperlink ref="I200" r:id="rId199" display="https://buttondown.com/nycofftech/archive/nyc-off-tech-april/"/>
    <hyperlink ref="I201" r:id="rId200" display="https://buttondown.com/nycofftech/archive/nyc-off-tech-april/"/>
    <hyperlink ref="I202" r:id="rId201" display="https://buttondown.com/nycofftech/archive/nyc-off-tech-april/"/>
    <hyperlink ref="I203" r:id="rId202" display="https://buttondown.com/nycofftech/archive/nyc-off-tech-april/"/>
    <hyperlink ref="I204" r:id="rId203" display="https://buttondown.com/nycofftech/archive/nyc-off-tech-april/"/>
    <hyperlink ref="I205" r:id="rId204" display="https://buttondown.com/nycofftech/archive/nyc-off-tech-april/"/>
    <hyperlink ref="I206" r:id="rId205" display="https://buttondown.com/nycofftech/archive/nyc-off-tech-april/"/>
    <hyperlink ref="I207" r:id="rId206" display="https://buttondown.com/nycofftech/archive/nyc-off-tech-april/"/>
    <hyperlink ref="I208" r:id="rId207" display="https://buttondown.com/nycofftech/archive/nyc-off-tech-april/"/>
    <hyperlink ref="I209" r:id="rId208" display="https://buttondown.com/nycofftech/archive/nyc-off-tech-april/"/>
    <hyperlink ref="I210" r:id="rId209" display="https://buttondown.com/nycofftech/archive/nyc-off-tech-april/"/>
    <hyperlink ref="I211" r:id="rId210" display="https://buttondown.com/nycofftech/archive/nyc-off-tech-april/"/>
    <hyperlink ref="I212" r:id="rId211" display="https://buttondown.com/nycofftech/archive/nyc-off-tech-april/"/>
    <hyperlink ref="I213" r:id="rId212" display="https://buttondown.com/nycofftech/archive/nyc-off-tech-april/"/>
    <hyperlink ref="I214" r:id="rId213" display="https://buttondown.com/nycofftech/archive/nyc-off-tech-april/"/>
    <hyperlink ref="I215" r:id="rId214" display="https://buttondown.com/nycofftech/archive/nyc-off-tech-april/"/>
    <hyperlink ref="I216" r:id="rId215" display="https://buttondown.com/nycofftech/archive/nyc-off-tech-april/"/>
    <hyperlink ref="I217" r:id="rId216" display="https://buttondown.com/nycofftech/archive/nyc-off-tech-april/"/>
    <hyperlink ref="I218" r:id="rId217" display="https://buttondown.com/nycofftech/archive/nyc-off-tech-april/"/>
    <hyperlink ref="I219" r:id="rId218" display="https://buttondown.com/nycofftech/archive/nyc-off-tech-april/"/>
    <hyperlink ref="I220" r:id="rId219" display="https://buttondown.com/nycofftech/archive/nyc-off-tech-april/"/>
    <hyperlink ref="I221" r:id="rId220" display="https://buttondown.com/nycofftech/archive/nyc-off-tech-april/"/>
    <hyperlink ref="I222" r:id="rId221" display="https://buttondown.com/nycofftech/archive/nyc-off-tech-april/"/>
    <hyperlink ref="I223" r:id="rId222" display="https://buttondown.com/nycofftech/archive/nyc-off-tech-april/"/>
    <hyperlink ref="I224" r:id="rId223" display="https://buttondown.com/nycofftech/archive/nyc-off-tech-april/"/>
    <hyperlink ref="I225" r:id="rId224" display="https://buttondown.com/nycofftech/archive/nyc-off-tech-april/"/>
    <hyperlink ref="I226" r:id="rId225" display="https://buttondown.com/nycofftech/archive/nyc-off-tech-april/"/>
    <hyperlink ref="I227" r:id="rId226" display="https://buttondown.com/nycofftech/archive/nyc-off-tech-april/"/>
    <hyperlink ref="I228" r:id="rId227" display="https://buttondown.com/nycofftech/archive/nyc-off-tech-mid-april-updates/"/>
    <hyperlink ref="I229" r:id="rId228" display="https://buttondown.com/nycofftech/archive/nyc-off-tech-mid-april-updates/"/>
    <hyperlink ref="I230" r:id="rId229" display="https://buttondown.com/nycofftech/archive/nyc-off-tech-mid-april-updates/"/>
    <hyperlink ref="I231" r:id="rId230" display="https://buttondown.com/nycofftech/archive/nyc-off-tech-mid-april-updates/"/>
    <hyperlink ref="I232" r:id="rId231" display="https://buttondown.com/nycofftech/archive/nyc-off-tech-mid-april-updates/"/>
    <hyperlink ref="I233" r:id="rId232" display="https://buttondown.com/nycofftech/archive/nyc-off-tech-mid-april-updates/"/>
    <hyperlink ref="I234" r:id="rId233" display="https://buttondown.com/nycofftech/archive/nyc-off-tech-mid-april-updates/"/>
    <hyperlink ref="I235" r:id="rId234" display="https://buttondown.com/nycofftech/archive/nyc-off-tech-mid-april-updates/"/>
    <hyperlink ref="I236" r:id="rId235" display="https://buttondown.com/nycofftech/archive/nyc-off-tech-mid-april-updates/"/>
    <hyperlink ref="I237" r:id="rId236" display="https://buttondown.com/nycofftech/archive/nyc-off-tech-mid-april-updates/"/>
    <hyperlink ref="I238" r:id="rId237" display="https://buttondown.com/nycofftech/archive/nyc-off-tech-mid-april-updates/"/>
    <hyperlink ref="I239" r:id="rId238" display="https://buttondown.com/nycofftech/archive/nyc-off-tech-mid-april-updates/"/>
    <hyperlink ref="I240" r:id="rId239" display="https://buttondown.com/nycofftech/archive/nyc-off-tech-mid-april-updates/"/>
    <hyperlink ref="I241" r:id="rId240" display="https://buttondown.com/nycofftech/archive/nyc-off-tech-mid-april-updates/"/>
    <hyperlink ref="I242" r:id="rId241" display="https://buttondown.com/nycofftech/archive/nyc-off-tech-mid-april-updates/"/>
    <hyperlink ref="I243" r:id="rId242" display="https://buttondown.com/nycofftech/archive/nyc-off-tech-mid-april-updates/"/>
    <hyperlink ref="I244" r:id="rId243" display="https://buttondown.com/nycofftech/archive/nyc-off-tech-mid-april-updates/"/>
    <hyperlink ref="I245" r:id="rId244" display="https://buttondown.com/nycofftech/archive/nyc-off-tech-mid-april-updates/"/>
    <hyperlink ref="I246" r:id="rId245" display="https://buttondown.com/nycofftech/archive/nyc-off-tech-mid-april-updates/"/>
    <hyperlink ref="I247" r:id="rId246" display="https://buttondown.com/nycofftech/archive/nyc-off-tech-mid-april-updates/"/>
    <hyperlink ref="I248" r:id="rId247" display="https://buttondown.com/nycofftech/archive/nyc-off-tech-mid-april-updates/"/>
    <hyperlink ref="I249" r:id="rId248" display="https://buttondown.com/nycofftech/archive/nyc-off-tech-mid-april-updates/"/>
    <hyperlink ref="I250" r:id="rId249" display="https://buttondown.com/nycofftech/archive/nyc-off-tech-mid-april-updates/"/>
    <hyperlink ref="I251" r:id="rId250" display="https://buttondown.com/nycofftech/archive/nyc-off-tech-mid-april-updates/"/>
    <hyperlink ref="I252" r:id="rId251" display="https://buttondown.com/nycofftech/archive/nyc-off-tech-may/"/>
    <hyperlink ref="I253" r:id="rId252" display="https://buttondown.com/nycofftech/archive/nyc-off-tech-may/"/>
    <hyperlink ref="I254" r:id="rId253" display="https://buttondown.com/nycofftech/archive/nyc-off-tech-may/"/>
    <hyperlink ref="I255" r:id="rId254" display="https://buttondown.com/nycofftech/archive/nyc-off-tech-may/"/>
    <hyperlink ref="I256" r:id="rId255" display="https://buttondown.com/nycofftech/archive/nyc-off-tech-may/"/>
    <hyperlink ref="I257" r:id="rId256" display="https://buttondown.com/nycofftech/archive/nyc-off-tech-may/"/>
    <hyperlink ref="I258" r:id="rId257" display="https://buttondown.com/nycofftech/archive/nyc-off-tech-may/"/>
    <hyperlink ref="I259" r:id="rId258" display="https://buttondown.com/nycofftech/archive/nyc-off-tech-may/"/>
    <hyperlink ref="I260" r:id="rId259" display="https://buttondown.com/nycofftech/archive/nyc-off-tech-may/"/>
    <hyperlink ref="I261" r:id="rId260" display="https://buttondown.com/nycofftech/archive/nyc-off-tech-may/"/>
    <hyperlink ref="I262" r:id="rId261" display="https://buttondown.com/nycofftech/archive/nyc-off-tech-may/"/>
    <hyperlink ref="I263" r:id="rId262" display="https://buttondown.com/nycofftech/archive/nyc-off-tech-may/"/>
    <hyperlink ref="I264" r:id="rId263" display="https://buttondown.com/nycofftech/archive/nyc-off-tech-may/"/>
    <hyperlink ref="I265" r:id="rId264" display="https://buttondown.com/nycofftech/archive/nyc-off-tech-may/"/>
    <hyperlink ref="I266" r:id="rId265" display="https://buttondown.com/nycofftech/archive/nyc-off-tech-may/"/>
    <hyperlink ref="I267" r:id="rId266" display="https://buttondown.com/nycofftech/archive/nyc-off-tech-may/"/>
    <hyperlink ref="I268" r:id="rId267" display="https://buttondown.com/nycofftech/archive/nyc-off-tech-may/"/>
    <hyperlink ref="I269" r:id="rId268" display="https://buttondown.com/nycofftech/archive/nyc-off-tech-may/"/>
    <hyperlink ref="I270" r:id="rId269" display="https://buttondown.com/nycofftech/archive/nyc-off-tech-may/"/>
    <hyperlink ref="I271" r:id="rId270" display="https://buttondown.com/nycofftech/archive/nyc-off-tech-may/"/>
    <hyperlink ref="I272" r:id="rId271" display="https://buttondown.com/nycofftech/archive/nyc-off-tech-may/"/>
    <hyperlink ref="I273" r:id="rId272" display="https://buttondown.com/nycofftech/archive/nyc-off-tech-may/"/>
    <hyperlink ref="I274" r:id="rId273" display="https://buttondown.com/nycofftech/archive/nyc-off-tech-may/"/>
    <hyperlink ref="I275" r:id="rId274" display="https://buttondown.com/nycofftech/archive/nyc-off-tech-may/"/>
    <hyperlink ref="I276" r:id="rId275" display="https://buttondown.com/nycofftech/archive/nyc-off-tech-may/"/>
    <hyperlink ref="I277" r:id="rId276" display="https://buttondown.com/nycofftech/archive/nyc-off-tech-may/"/>
    <hyperlink ref="I278" r:id="rId277" display="https://buttondown.com/nycofftech/archive/nyc-off-tech-may/"/>
    <hyperlink ref="I279" r:id="rId278" display="https://buttondown.com/nycofftech/archive/nyc-off-tech-may/"/>
    <hyperlink ref="I280" r:id="rId279" display="https://buttondown.com/nycofftech/archive/nyc-off-tech-may/"/>
    <hyperlink ref="I281" r:id="rId280" display="https://buttondown.com/nycofftech/archive/nyc-off-tech-may/"/>
    <hyperlink ref="I282" r:id="rId281" display="https://buttondown.com/nycofftech/archive/nyc-off-tech-may/"/>
    <hyperlink ref="I283" r:id="rId282" display="https://buttondown.com/nycofftech/archive/nyc-off-tech-may/"/>
    <hyperlink ref="I284" r:id="rId283" display="https://buttondown.com/nycofftech/archive/nyc-off-tech-may/"/>
    <hyperlink ref="I285" r:id="rId284" display="https://buttondown.com/nycofftech/archive/nyc-off-tech-may/"/>
    <hyperlink ref="I286" r:id="rId285" display="https://buttondown.com/nycofftech/archive/nyc-off-tech-may/"/>
    <hyperlink ref="I287" r:id="rId286" display="https://buttondown.com/nycofftech/archive/nyc-off-tech-may/"/>
    <hyperlink ref="I288" r:id="rId287" display="https://buttondown.com/nycofftech/archive/nyc-off-tech-may/"/>
    <hyperlink ref="I289" r:id="rId288" display="https://buttondown.com/nycofftech/archive/nyc-off-tech-may/"/>
    <hyperlink ref="I290" r:id="rId289" display="https://buttondown.com/nycofftech/archive/nyc-off-tech-mid-may-updates/"/>
    <hyperlink ref="I291" r:id="rId290" display="https://buttondown.com/nycofftech/archive/nyc-off-tech-mid-may-updates/"/>
    <hyperlink ref="I292" r:id="rId291" display="https://buttondown.com/nycofftech/archive/nyc-off-tech-mid-may-updates/"/>
    <hyperlink ref="I293" r:id="rId292" display="https://buttondown.com/nycofftech/archive/nyc-off-tech-mid-may-updates/"/>
    <hyperlink ref="I294" r:id="rId293" display="https://buttondown.com/nycofftech/archive/nyc-off-tech-mid-may-updates/"/>
    <hyperlink ref="I295" r:id="rId294" display="https://buttondown.com/nycofftech/archive/nyc-off-tech-mid-may-updates/"/>
    <hyperlink ref="I296" r:id="rId295" display="https://buttondown.com/nycofftech/archive/nyc-off-tech-mid-may-updates/"/>
    <hyperlink ref="I297" r:id="rId296" display="https://buttondown.com/nycofftech/archive/nyc-off-tech-mid-may-updates/"/>
    <hyperlink ref="I298" r:id="rId297" display="https://buttondown.com/nycofftech/archive/nyc-off-tech-mid-may-updates/"/>
    <hyperlink ref="I299" r:id="rId298" display="https://buttondown.com/nycofftech/archive/nyc-off-tech-mid-may-updates/"/>
    <hyperlink ref="I300" r:id="rId299" display="https://buttondown.com/nycofftech/archive/nyc-off-tech-mid-may-updates/"/>
    <hyperlink ref="I301" r:id="rId300" display="https://buttondown.com/nycofftech/archive/nyc-off-tech-mid-may-updates/"/>
    <hyperlink ref="I302" r:id="rId301" display="https://buttondown.com/nycofftech/archive/nyc-off-tech-mid-may-updates/"/>
    <hyperlink ref="I303" r:id="rId302" display="https://buttondown.com/nycofftech/archive/nyc-off-tech-mid-may-updates/"/>
    <hyperlink ref="I304" r:id="rId303" display="https://buttondown.com/nycofftech/archive/nyc-off-tech-mid-may-updates/"/>
    <hyperlink ref="I305" r:id="rId304" display="https://buttondown.com/nycofftech/archive/nyc-off-tech-mid-may-updates/"/>
    <hyperlink ref="I306" r:id="rId305" display="https://buttondown.com/nycofftech/archive/nyc-off-tech-mid-may-updates/"/>
    <hyperlink ref="I307" r:id="rId306" display="https://buttondown.com/nycofftech/archive/nyc-off-tech-mid-may-updates/"/>
    <hyperlink ref="I308" r:id="rId307" display="https://buttondown.com/nycofftech/archive/nyc-off-tech-mid-may-updates/"/>
    <hyperlink ref="I309" r:id="rId308" display="https://buttondown.com/nycofftech/archive/nyc-off-tech-mid-may-updates/"/>
    <hyperlink ref="I310" r:id="rId309" display="https://buttondown.com/nycofftech/archive/nyc-off-tech-mid-may-updates/"/>
    <hyperlink ref="I311" r:id="rId310" display="https://buttondown.com/nycofftech/archive/nyc-off-tech-mid-may-updates/"/>
    <hyperlink ref="I312" r:id="rId311" display="https://buttondown.com/nycofftech/archive/nyc-off-tech-mid-may-updates/"/>
    <hyperlink ref="I313" r:id="rId312" display="https://buttondown.com/nycofftech/archive/nyc-off-tech-mid-may-updates/"/>
    <hyperlink ref="I314" r:id="rId313" display="https://buttondown.com/nycofftech/archive/nyc-off-tech-mid-may-updates/"/>
    <hyperlink ref="I315" r:id="rId314" display="https://buttondown.com/nycofftech/archive/nyc-off-tech-mid-may-updates/"/>
    <hyperlink ref="I316" r:id="rId315" display="https://buttondown.com/nycofftech/archive/nyc-off-tech-mid-may-updates/"/>
    <hyperlink ref="I317" r:id="rId316" display="https://buttondown.com/nycofftech/archive/nyc-off-tech-mid-may-updates/"/>
    <hyperlink ref="I318" r:id="rId317" display="https://buttondown.com/nycofftech/archive/nyc-off-tech-mid-may-updates/"/>
    <hyperlink ref="I319" r:id="rId318" display="https://buttondown.com/nycofftech/archive/nyc-off-tech-mid-may-updates/"/>
    <hyperlink ref="I320" r:id="rId319" display="https://buttondown.com/nycofftech/archive/nyc-off-tech-mid-may-updates/"/>
    <hyperlink ref="I321" r:id="rId320" display="https://buttondown.com/nycofftech/archive/nyc-off-tech-mid-may-updates/"/>
    <hyperlink ref="I322" r:id="rId321" display="https://buttondown.com/nycofftech/archive/nyc-off-tech-mid-may-updates/"/>
    <hyperlink ref="I323" r:id="rId322" display="https://buttondown.com/nycofftech/archive/nyc-off-tech-mid-may-updates/"/>
    <hyperlink ref="I324" r:id="rId323" display="https://buttondown.com/nycofftech/archive/nyc-off-tech-mid-may-updates/"/>
    <hyperlink ref="I325" r:id="rId324" display="https://buttondown.com/nycofftech/archive/nyc-off-tech-mid-may-updates/"/>
    <hyperlink ref="I326" r:id="rId325" display="https://buttondown.com/nycofftech/archive/nyc-off-tech-mid-may-updates/"/>
    <hyperlink ref="I327" r:id="rId326" display="https://buttondown.com/nycofftech/archive/nyc-off-tech-mid-may-updates/"/>
    <hyperlink ref="I328" r:id="rId327" display="https://buttondown.com/nycofftech/archive/nyc-off-tech-mid-may-updates/"/>
    <hyperlink ref="I329" r:id="rId328" display="https://buttondown.com/nycofftech/archive/nyc-off-tech-mid-may-updates/"/>
    <hyperlink ref="I330" r:id="rId329" display="https://buttondown.com/nycofftech/archive/nyc-off-tech-mid-may-updates/"/>
    <hyperlink ref="I331" r:id="rId330" display="https://buttondown.com/nycofftech/archive/nyc-off-tech-mid-may-updates/"/>
    <hyperlink ref="I332" r:id="rId331" display="https://buttondown.com/nycofftech/archive/nyc-off-tech-mid-may-updates/"/>
    <hyperlink ref="I333" r:id="rId332" display="https://buttondown.com/nycofftech/archive/nyc-off-tech-mid-may-updates/"/>
    <hyperlink ref="I334" r:id="rId333" display="https://buttondown.com/nycofftech/archive/nyc-off-tech-june/"/>
    <hyperlink ref="I335" r:id="rId334" display="https://buttondown.com/nycofftech/archive/nyc-off-tech-june/"/>
    <hyperlink ref="I336" r:id="rId335" display="https://buttondown.com/nycofftech/archive/nyc-off-tech-june/"/>
    <hyperlink ref="I337" r:id="rId336" display="https://buttondown.com/nycofftech/archive/nyc-off-tech-june/"/>
    <hyperlink ref="I338" r:id="rId337" display="https://buttondown.com/nycofftech/archive/nyc-off-tech-june/"/>
    <hyperlink ref="I339" r:id="rId338" display="https://buttondown.com/nycofftech/archive/nyc-off-tech-june/"/>
    <hyperlink ref="I340" r:id="rId339" display="https://buttondown.com/nycofftech/archive/nyc-off-tech-june/"/>
    <hyperlink ref="I341" r:id="rId340" display="https://buttondown.com/nycofftech/archive/nyc-off-tech-june/"/>
    <hyperlink ref="I342" r:id="rId341" display="https://buttondown.com/nycofftech/archive/nyc-off-tech-june/"/>
    <hyperlink ref="I343" r:id="rId342" display="https://buttondown.com/nycofftech/archive/nyc-off-tech-june/"/>
    <hyperlink ref="I344" r:id="rId343" display="https://buttondown.com/nycofftech/archive/nyc-off-tech-june/"/>
    <hyperlink ref="I345" r:id="rId344" display="https://buttondown.com/nycofftech/archive/nyc-off-tech-june/"/>
    <hyperlink ref="I346" r:id="rId345" display="https://buttondown.com/nycofftech/archive/nyc-off-tech-june/"/>
    <hyperlink ref="I347" r:id="rId346" display="https://buttondown.com/nycofftech/archive/nyc-off-tech-june/"/>
    <hyperlink ref="I348" r:id="rId347" display="https://buttondown.com/nycofftech/archive/nyc-off-tech-june/"/>
    <hyperlink ref="I349" r:id="rId348" display="https://buttondown.com/nycofftech/archive/nyc-off-tech-june/"/>
    <hyperlink ref="I350" r:id="rId349" display="https://buttondown.com/nycofftech/archive/nyc-off-tech-june/"/>
    <hyperlink ref="I351" r:id="rId350" display="https://buttondown.com/nycofftech/archive/nyc-off-tech-june/"/>
    <hyperlink ref="I352" r:id="rId351" display="https://buttondown.com/nycofftech/archive/nyc-off-tech-june/"/>
    <hyperlink ref="I353" r:id="rId352" display="https://buttondown.com/nycofftech/archive/nyc-off-tech-june/"/>
    <hyperlink ref="I354" r:id="rId353" display="https://buttondown.com/nycofftech/archive/nyc-off-tech-june/"/>
    <hyperlink ref="I355" r:id="rId354" display="https://buttondown.com/nycofftech/archive/nyc-off-tech-june/"/>
    <hyperlink ref="I356" r:id="rId355" display="https://buttondown.com/nycofftech/archive/nyc-off-tech-june/"/>
    <hyperlink ref="I357" r:id="rId356" display="https://buttondown.com/nycofftech/archive/nyc-off-tech-june/"/>
    <hyperlink ref="I358" r:id="rId357" display="https://buttondown.com/nycofftech/archive/nyc-off-tech-june/"/>
    <hyperlink ref="I359" r:id="rId358" display="https://buttondown.com/nycofftech/archive/nyc-off-tech-june/"/>
    <hyperlink ref="I360" r:id="rId359" display="https://buttondown.com/nycofftech/archive/nyc-off-tech-june/"/>
    <hyperlink ref="I361" r:id="rId360" display="https://buttondown.com/nycofftech/archive/nyc-off-tech-june/"/>
    <hyperlink ref="I362" r:id="rId361" display="https://buttondown.com/nycofftech/archive/nyc-off-tech-june/"/>
    <hyperlink ref="I363" r:id="rId362" display="https://buttondown.com/nycofftech/archive/nyc-off-tech-june/"/>
    <hyperlink ref="I364" r:id="rId363" display="https://buttondown.com/nycofftech/archive/nyc-off-tech-june/"/>
    <hyperlink ref="I365" r:id="rId364" display="https://buttondown.com/nycofftech/archive/nyc-off-tech-june/"/>
    <hyperlink ref="I366" r:id="rId365" display="https://buttondown.com/nycofftech/archive/nyc-off-tech-june/"/>
    <hyperlink ref="I367" r:id="rId366" display="https://buttondown.com/nycofftech/archive/nyc-off-tech-june/"/>
    <hyperlink ref="I368" r:id="rId367" display="https://buttondown.com/nycofftech/archive/nyc-off-tech-mid-june-updates/"/>
    <hyperlink ref="I369" r:id="rId368" display="https://buttondown.com/nycofftech/archive/nyc-off-tech-mid-june-updates/"/>
    <hyperlink ref="I370" r:id="rId369" display="https://buttondown.com/nycofftech/archive/nyc-off-tech-mid-june-updates/"/>
    <hyperlink ref="I371" r:id="rId370" display="https://buttondown.com/nycofftech/archive/nyc-off-tech-mid-june-updates/"/>
    <hyperlink ref="I372" r:id="rId371" display="https://buttondown.com/nycofftech/archive/nyc-off-tech-mid-june-updates/"/>
    <hyperlink ref="I373" r:id="rId372" display="https://buttondown.com/nycofftech/archive/nyc-off-tech-mid-june-updates/"/>
    <hyperlink ref="I374" r:id="rId373" display="https://buttondown.com/nycofftech/archive/nyc-off-tech-mid-june-updates/"/>
    <hyperlink ref="I375" r:id="rId374" display="https://buttondown.com/nycofftech/archive/nyc-off-tech-mid-june-updates/"/>
    <hyperlink ref="I376" r:id="rId375" display="https://buttondown.com/nycofftech/archive/nyc-off-tech-mid-june-updates/"/>
    <hyperlink ref="I377" r:id="rId376" display="https://buttondown.com/nycofftech/archive/nyc-off-tech-mid-june-updates/"/>
    <hyperlink ref="I378" r:id="rId377" display="https://buttondown.com/nycofftech/archive/nyc-off-tech-mid-june-updates/"/>
    <hyperlink ref="I379" r:id="rId378" display="https://buttondown.com/nycofftech/archive/nyc-off-tech-mid-june-updates/"/>
    <hyperlink ref="I380" r:id="rId379" display="https://buttondown.com/nycofftech/archive/nyc-off-tech-mid-june-updates/"/>
    <hyperlink ref="I381" r:id="rId380" display="https://buttondown.com/nycofftech/archive/nyc-off-tech-mid-june-updates/"/>
    <hyperlink ref="I382" r:id="rId381" display="https://buttondown.com/nycofftech/archive/nyc-off-tech-mid-june-updates/"/>
    <hyperlink ref="I383" r:id="rId382" display="https://buttondown.com/nycofftech/archive/nyc-off-tech-mid-june-updates/"/>
    <hyperlink ref="I384" r:id="rId383" display="https://buttondown.com/nycofftech/archive/nyc-off-tech-mid-june-updates/"/>
    <hyperlink ref="I385" r:id="rId384" display="https://buttondown.com/nycofftech/archive/nyc-off-tech-mid-june-updates/"/>
    <hyperlink ref="I386" r:id="rId385" display="https://buttondown.com/nycofftech/archive/nyc-off-tech-mid-june-updates/"/>
    <hyperlink ref="I387" r:id="rId386" display="https://buttondown.com/nycofftech/archive/nyc-off-tech-mid-june-updates/"/>
    <hyperlink ref="I388" r:id="rId387" display="https://buttondown.com/nycofftech/archive/nyc-off-tech-mid-june-updates/"/>
    <hyperlink ref="I389" r:id="rId388" display="https://buttondown.com/nycofftech/archive/nyc-off-tech-mid-june-updates/"/>
    <hyperlink ref="I390" r:id="rId389" display="https://buttondown.com/nycofftech/archive/nyc-off-tech-mid-june-updates/"/>
    <hyperlink ref="I391" r:id="rId390" display="https://buttondown.com/nycofftech/archive/nyc-off-tech-mid-june-updates/"/>
    <hyperlink ref="I392" r:id="rId391" display="https://buttondown.com/nycofftech/archive/nyc-off-tech-mid-june-updates/"/>
    <hyperlink ref="I393" r:id="rId392" display="https://buttondown.com/nycofftech/archive/nyc-off-tech-mid-june-updates/"/>
    <hyperlink ref="I394" r:id="rId393" display="https://buttondown.com/nycofftech/archive/nyc-off-tech-mid-june-updates/"/>
    <hyperlink ref="I395" r:id="rId394" display="https://buttondown.com/nycofftech/archive/nyc-off-tech-mid-june-updates/"/>
    <hyperlink ref="I396" r:id="rId395" display="https://buttondown.com/nycofftech/archive/nyc-off-tech-mid-june-updates/"/>
    <hyperlink ref="I397" r:id="rId396" display="https://buttondown.com/nycofftech/archive/nyc-off-tech-mid-june-updates/"/>
    <hyperlink ref="I398" r:id="rId397" display="https://buttondown.com/nycofftech/archive/nyc-off-tech-mid-june-updates/"/>
    <hyperlink ref="I399" r:id="rId398" display="https://buttondown.com/nycofftech/archive/nyc-off-tech-mid-june-updates/"/>
    <hyperlink ref="I400" r:id="rId399" display="https://buttondown.com/nycofftech/archive/nyc-off-tech-mid-june-updates/"/>
    <hyperlink ref="I401" r:id="rId400" display="https://buttondown.com/nycofftech/archive/nyc-off-tech-mid-june-updates/"/>
    <hyperlink ref="I402" r:id="rId401" display="https://buttondown.com/nycofftech/archive/nyc-off-tech-mid-june-updates/"/>
    <hyperlink ref="I403" r:id="rId402" display="https://buttondown.com/nycofftech/archive/nyc-off-tech-mid-june-updates/"/>
    <hyperlink ref="I404" r:id="rId403" display="https://buttondown.com/nycofftech/archive/nyc-off-tech-mid-june-updates/"/>
    <hyperlink ref="I405" r:id="rId404" display="https://buttondown.com/nycofftech/archive/nyc-off-tech-mid-june-updates/"/>
    <hyperlink ref="I406" r:id="rId405" display="https://buttondown.com/nycofftech/archive/summer-of-ludd-schedule/"/>
    <hyperlink ref="I407" r:id="rId406" display="https://buttondown.com/nycofftech/archive/summer-of-ludd-schedule/"/>
    <hyperlink ref="I408" r:id="rId407" display="https://buttondown.com/nycofftech/archive/summer-of-ludd-schedule/"/>
    <hyperlink ref="I409" r:id="rId408" display="https://buttondown.com/nycofftech/archive/summer-of-ludd-schedule/"/>
    <hyperlink ref="I410" r:id="rId409" display="https://buttondown.com/nycofftech/archive/summer-of-ludd-schedule/"/>
    <hyperlink ref="I411" r:id="rId410" display="https://buttondown.com/nycofftech/archive/summer-of-ludd-schedule/"/>
    <hyperlink ref="I412" r:id="rId411" display="https://buttondown.com/nycofftech/archive/summer-of-ludd-schedule/"/>
    <hyperlink ref="I413" r:id="rId412" display="https://buttondown.com/nycofftech/archive/summer-of-ludd-schedule/"/>
    <hyperlink ref="I414" r:id="rId413" display="https://buttondown.com/nycofftech/archive/summer-of-ludd-schedule/"/>
    <hyperlink ref="I415" r:id="rId414" display="https://buttondown.com/nycofftech/archive/summer-of-ludd-schedule/"/>
    <hyperlink ref="I416" r:id="rId415" display="https://buttondown.com/nycofftech/archive/summer-of-ludd-schedule/"/>
    <hyperlink ref="I417" r:id="rId416" display="https://buttondown.com/nycofftech/archive/summer-of-ludd-schedule/"/>
    <hyperlink ref="I418" r:id="rId417" display="https://buttondown.com/nycofftech/archive/summer-of-ludd-schedule/"/>
    <hyperlink ref="I419" r:id="rId418" display="https://buttondown.com/nycofftech/archive/summer-of-ludd-schedule/"/>
    <hyperlink ref="I420" r:id="rId419" display="https://buttondown.com/nycofftech/archive/summer-of-ludd-schedule/"/>
    <hyperlink ref="I421" r:id="rId420" display="https://buttondown.com/nycofftech/archive/summer-of-ludd-schedule/"/>
    <hyperlink ref="I422" r:id="rId421" display="https://buttondown.com/nycofftech/archive/summer-of-ludd-schedule/"/>
    <hyperlink ref="I423" r:id="rId422" display="https://buttondown.com/nycofftech/archive/summer-of-ludd-schedule/"/>
    <hyperlink ref="I424" r:id="rId423" display="https://buttondown.com/nycofftech/archive/summer-of-ludd-schedule/"/>
    <hyperlink ref="I425" r:id="rId424" display="https://buttondown.com/nycofftech/archive/summer-of-ludd-schedule/"/>
    <hyperlink ref="I426" r:id="rId425" display="https://buttondown.com/nycofftech/archive/summer-of-ludd-schedule/"/>
    <hyperlink ref="I427" r:id="rId426" display="https://buttondown.com/nycofftech/archive/summer-of-ludd-schedule/"/>
    <hyperlink ref="I428" r:id="rId427" display="https://buttondown.com/nycofftech/archive/summer-of-ludd-schedule/"/>
    <hyperlink ref="I429" r:id="rId428" display="https://buttondown.com/nycofftech/archive/summer-of-ludd-schedule/"/>
    <hyperlink ref="I430" r:id="rId429" display="https://buttondown.com/nycofftech/archive/summer-of-ludd-schedule/"/>
    <hyperlink ref="I431" r:id="rId430" display="https://buttondown.com/nycofftech/archive/summer-of-ludd-schedule/"/>
    <hyperlink ref="I432" r:id="rId431" display="https://buttondown.com/nycofftech/archive/summer-of-ludd-schedule/"/>
    <hyperlink ref="I433" r:id="rId432" display="https://buttondown.com/nycofftech/archive/summer-of-ludd-schedule/"/>
    <hyperlink ref="I434" r:id="rId433" display="https://buttondown.com/nycofftech/archive/summer-of-ludd-schedule/"/>
    <hyperlink ref="I435" r:id="rId434" display="https://buttondown.com/nycofftech/archive/summer-of-ludd-schedule/"/>
    <hyperlink ref="I436" r:id="rId435" display="https://buttondown.com/nycofftech/archive/summer-of-ludd-schedule/"/>
    <hyperlink ref="I437" r:id="rId436" display="https://buttondown.com/nycofftech/archive/summer-of-ludd-schedule/"/>
    <hyperlink ref="I438" r:id="rId437" display="https://buttondown.com/nycofftech/archive/summer-of-ludd-schedule/"/>
    <hyperlink ref="I439" r:id="rId438" display="https://buttondown.com/nycofftech/archive/summer-of-ludd-schedule/"/>
    <hyperlink ref="I440" r:id="rId439" display="https://buttondown.com/nycofftech/archive/summer-of-ludd-schedule/"/>
    <hyperlink ref="I441" r:id="rId440" display="https://buttondown.com/nycofftech/archive/summer-of-ludd-schedule/"/>
    <hyperlink ref="I442" r:id="rId441" display="https://buttondown.com/nycofftech/archive/summer-of-ludd-schedule/"/>
    <hyperlink ref="I443" r:id="rId442" display="https://buttondown.com/nycofftech/archive/summer-of-ludd-schedule/"/>
    <hyperlink ref="I444" r:id="rId443" display="https://buttondown.com/nycofftech/archive/summer-of-ludd-schedule/"/>
    <hyperlink ref="I445" r:id="rId444" display="https://buttondown.com/nycofftech/archive/summer-of-ludd-schedule/"/>
    <hyperlink ref="I446" r:id="rId445" display="https://buttondown.com/nycofftech/archive/summer-of-ludd-schedule/"/>
    <hyperlink ref="I447" r:id="rId446" display="https://buttondown.com/nycofftech/archive/summer-of-ludd-schedule/"/>
    <hyperlink ref="I448" r:id="rId447" display="https://buttondown.com/nycofftech/archive/summer-of-ludd-schedule/"/>
    <hyperlink ref="I449" r:id="rId448" display="https://buttondown.com/nycofftech/archive/summer-of-ludd-schedule/"/>
    <hyperlink ref="I450" r:id="rId449" display="https://buttondown.com/nycofftech/archive/summer-of-ludd-schedule/"/>
    <hyperlink ref="I451" r:id="rId450" display="https://buttondown.com/nycofftech/archive/summer-of-ludd-schedule/"/>
    <hyperlink ref="I452" r:id="rId451" display="https://buttondown.com/nycofftech/archive/summer-of-ludd-schedule/"/>
    <hyperlink ref="I453" r:id="rId452" display="https://buttondown.com/nycofftech/archive/summer-of-ludd-schedule/"/>
    <hyperlink ref="I454" r:id="rId453" display="https://buttondown.com/nycofftech/archive/summer-of-ludd-schedule/"/>
    <hyperlink ref="I455" r:id="rId454" display="https://buttondown.com/nycofftech/archive/summer-of-ludd-schedule/"/>
    <hyperlink ref="I456" r:id="rId455" display="https://buttondown.com/nycofftech/archive/summer-of-ludd-schedule/"/>
    <hyperlink ref="I457" r:id="rId456" display="https://buttondown.com/nycofftech/archive/summer-of-ludd-schedule/"/>
    <hyperlink ref="I458" r:id="rId457" display="https://buttondown.com/nycofftech/archive/summer-of-ludd-schedule/"/>
    <hyperlink ref="I459" r:id="rId458" display="https://buttondown.com/nycofftech/archive/summer-of-ludd-schedule/"/>
    <hyperlink ref="I460" r:id="rId459" display="https://buttondown.com/nycofftech/archive/summer-of-ludd-schedule/"/>
    <hyperlink ref="I461" r:id="rId460" display="https://buttondown.com/nycofftech/archive/summer-of-ludd-schedule/"/>
    <hyperlink ref="I462" r:id="rId461" display="https://buttondown.com/nycofftech/archive/summer-of-ludd-schedule/"/>
    <hyperlink ref="I463" r:id="rId462" display="https://buttondown.com/nycofftech/archive/summer-of-ludd-schedule/"/>
    <hyperlink ref="I464" r:id="rId463" display="https://buttondown.com/nycofftech/archive/summer-of-ludd-schedule/"/>
    <hyperlink ref="I465" r:id="rId464" display="https://buttondown.com/nycofftech/archive/summer-of-ludd-schedule/"/>
    <hyperlink ref="I466" r:id="rId465" display="https://buttondown.com/nycofftech/archive/summer-of-ludd-schedule/"/>
    <hyperlink ref="I467" r:id="rId466" display="https://buttondown.com/nycofftech/archive/summer-of-ludd-schedule/"/>
    <hyperlink ref="I468" r:id="rId467" display="https://buttondown.com/nycofftech/archive/summer-of-ludd-schedule/"/>
    <hyperlink ref="I469" r:id="rId468" display="https://buttondown.com/nycofftech/archive/summer-of-ludd-schedule/"/>
    <hyperlink ref="I470" r:id="rId469" display="https://buttondown.com/nycofftech/archive/summer-of-ludd-schedule/"/>
    <hyperlink ref="I471" r:id="rId470" display="https://buttondown.com/nycofftech/archive/summer-of-ludd-schedule/"/>
    <hyperlink ref="I472" r:id="rId471" display="https://buttondown.com/nycofftech/archive/summer-of-ludd-schedule/"/>
    <hyperlink ref="I473" r:id="rId472" display="https://buttondown.com/nycofftech/archive/summer-of-ludd-schedule/"/>
    <hyperlink ref="I474" r:id="rId473" display="https://buttondown.com/nycofftech/archive/summer-of-ludd-schedule/"/>
    <hyperlink ref="I475" r:id="rId474" display="https://buttondown.com/nycofftech/archive/summer-of-ludd-schedule/"/>
    <hyperlink ref="I476" r:id="rId475" display="https://buttondown.com/nycofftech/archive/summer-of-ludd-schedule/"/>
    <hyperlink ref="I477" r:id="rId476" display="https://buttondown.com/nycofftech/archive/summer-of-ludd-schedule/"/>
    <hyperlink ref="I478" r:id="rId477" display="https://buttondown.com/nycofftech/archive/summer-of-ludd-schedule/"/>
    <hyperlink ref="I479" r:id="rId478" display="https://buttondown.com/nycofftech/archive/summer-of-ludd-schedule/"/>
    <hyperlink ref="I480" r:id="rId479" display="https://buttondown.com/nycofftech/archive/summer-of-ludd-schedule/"/>
    <hyperlink ref="I481" r:id="rId480" display="https://buttondown.com/nycofftech/archive/summer-of-ludd-schedule/"/>
    <hyperlink ref="I482" r:id="rId481" display="https://buttondown.com/nycofftech/archive/summer-of-ludd-schedule/"/>
    <hyperlink ref="I483" r:id="rId482" display="https://buttondown.com/nycofftech/archive/summer-of-ludd-schedule/"/>
    <hyperlink ref="I484" r:id="rId483" display="https://buttondown.com/nycofftech/archive/summer-of-ludd-schedule/"/>
    <hyperlink ref="I485" r:id="rId484" display="https://buttondown.com/nycofftech/archive/summer-of-ludd-schedule/"/>
    <hyperlink ref="I486" r:id="rId485" display="https://buttondown.com/nycofftech/archive/summer-of-ludd-schedule/"/>
    <hyperlink ref="I487" r:id="rId486" display="https://buttondown.com/nycofftech/archive/summer-of-ludd-schedule/"/>
    <hyperlink ref="I488" r:id="rId487" display="https://buttondown.com/nycofftech/archive/summer-of-ludd-schedule/"/>
    <hyperlink ref="I489" r:id="rId488" display="https://buttondown.com/nycofftech/archive/summer-of-ludd-schedule/"/>
    <hyperlink ref="I490" r:id="rId489" display="https://buttondown.com/nycofftech/archive/summer-of-ludd-schedule/"/>
    <hyperlink ref="I491" r:id="rId490" display="https://buttondown.com/nycofftech/archive/we-can-have-this-all-summer/"/>
    <hyperlink ref="I492" r:id="rId491" display="https://buttondown.com/nycofftech/archive/nyc-off-tech-mid-july-updates/"/>
    <hyperlink ref="I493" r:id="rId492" display="https://buttondown.com/nycofftech/archive/nyc-off-tech-mid-july-updates/"/>
    <hyperlink ref="I494" r:id="rId493" display="https://buttondown.com/nycofftech/archive/nyc-off-tech-mid-july-updates/"/>
    <hyperlink ref="I495" r:id="rId494" display="https://buttondown.com/nycofftech/archive/nyc-off-tech-mid-july-updates/"/>
    <hyperlink ref="I496" r:id="rId495" display="https://buttondown.com/nycofftech/archive/nyc-off-tech-mid-july-updates/"/>
    <hyperlink ref="I497" r:id="rId496" display="https://buttondown.com/nycofftech/archive/nyc-off-tech-mid-july-updates/"/>
    <hyperlink ref="I498" r:id="rId497" display="https://buttondown.com/nycofftech/archive/nyc-off-tech-mid-july-updates/"/>
    <hyperlink ref="I499" r:id="rId498" display="https://buttondown.com/nycofftech/archive/nyc-off-tech-mid-july-updates/"/>
    <hyperlink ref="I500" r:id="rId499" display="https://buttondown.com/nycofftech/archive/nyc-off-tech-mid-july-updates/"/>
    <hyperlink ref="I501" r:id="rId500" display="https://buttondown.com/nycofftech/archive/nyc-off-tech-mid-july-updates/"/>
    <hyperlink ref="I502" r:id="rId501" display="https://buttondown.com/nycofftech/archive/nyc-off-tech-mid-july-updates/"/>
    <hyperlink ref="I503" r:id="rId502" display="https://buttondown.com/nycofftech/archive/nyc-off-tech-mid-july-updates/"/>
    <hyperlink ref="I504" r:id="rId503" display="https://buttondown.com/nycofftech/archive/nyc-off-tech-mid-july-updates/"/>
    <hyperlink ref="I505" r:id="rId504" display="https://buttondown.com/nycofftech/archive/nyc-off-tech-mid-july-updates/"/>
    <hyperlink ref="I506" r:id="rId505" display="https://buttondown.com/nycofftech/archive/nyc-off-tech-mid-july-updates/"/>
    <hyperlink ref="I507" r:id="rId506" display="https://buttondown.com/nycofftech/archive/nyc-off-tech-mid-july-updates/"/>
    <hyperlink ref="I508" r:id="rId507" display="https://buttondown.com/nycofftech/archive/nyc-off-tech-mid-july-updates/"/>
    <hyperlink ref="I509" r:id="rId508" display="https://buttondown.com/nycofftech/archive/nyc-off-tech-mid-july-updates/"/>
    <hyperlink ref="I510" r:id="rId509" display="https://buttondown.com/nycofftech/archive/nyc-off-tech-mid-july-updates/"/>
    <hyperlink ref="I511" r:id="rId510" display="https://buttondown.com/nycofftech/archive/nyc-off-tech-mid-july-updates/"/>
    <hyperlink ref="I512" r:id="rId511" display="https://buttondown.com/nycofftech/archive/nyc-off-tech-mid-july-updates/"/>
    <hyperlink ref="I513" r:id="rId512" display="https://buttondown.com/nycofftech/archive/nyc-off-tech-mid-july-updates/"/>
    <hyperlink ref="I514" r:id="rId513" display="https://buttondown.com/nycofftech/archive/nyc-off-tech-mid-july-updates/"/>
    <hyperlink ref="I515" r:id="rId514" display="https://buttondown.com/nycofftech/archive/nyc-off-tech-mid-july-updates/"/>
    <hyperlink ref="I516" r:id="rId515" display="https://buttondown.com/nycofftech/archive/nyc-off-tech-mid-july-updates/"/>
    <hyperlink ref="I517" r:id="rId516" display="https://buttondown.com/nycofftech/archive/nyc-off-tech-mid-july-updates/"/>
    <hyperlink ref="I518" r:id="rId517" display="https://buttondown.com/nycofftech/archive/nyc-off-tech-mid-july-updates/"/>
    <hyperlink ref="I519" r:id="rId518" display="https://buttondown.com/nycofftech/archive/nyc-off-tech-mid-july-updates/"/>
    <hyperlink ref="I520" r:id="rId519" display="https://buttondown.com/nycofftech/archive/nyc-off-tech-mid-july-updates/"/>
    <hyperlink ref="I521" r:id="rId520" display="https://buttondown.com/nycofftech/archive/nyc-off-tech-mid-july-updates/"/>
    <hyperlink ref="I522" r:id="rId521" display="https://buttondown.com/nycofftech/archive/nyc-off-tech-mid-july-updates/"/>
    <hyperlink ref="I523" r:id="rId522" display="https://buttondown.com/nycofftech/archive/nyc-off-tech-mid-july-updates/"/>
    <hyperlink ref="I524" r:id="rId523" display="https://buttondown.com/nycofftech/archive/nyc-off-tech-mid-july-updates/"/>
    <hyperlink ref="I525" r:id="rId524" display="https://buttondown.com/nycofftech/archive/nyc-off-tech-mid-july-updates/"/>
    <hyperlink ref="I526" r:id="rId525" display="https://buttondown.com/nycofftech/archive/nyc-off-tech-mid-july-updates/"/>
    <hyperlink ref="I527" r:id="rId526" display="https://buttondown.com/nycofftech/archive/nyc-off-tech-mid-july-updates/"/>
    <hyperlink ref="I528" r:id="rId527" display="https://buttondown.com/nycofftech/archive/nyc-off-tech-mid-july-updates/"/>
    <hyperlink ref="I529" r:id="rId528" display="https://buttondown.com/nycofftech/archive/nyc-off-tech-mid-july-updates/"/>
    <hyperlink ref="I530" r:id="rId529" display="https://buttondown.com/nycofftech/archive/nyc-off-tech-mid-july-updates/"/>
    <hyperlink ref="I531" r:id="rId530" display="https://buttondown.com/nycofftech/archive/nyc-off-tech-mid-july-updates/"/>
    <hyperlink ref="I532" r:id="rId531" display="https://buttondown.com/nycofftech/archive/nyc-off-tech-mid-july-updates/"/>
    <hyperlink ref="I533" r:id="rId532" display="https://buttondown.com/nycofftech/archive/nyc-off-tech-mid-july-updates/"/>
    <hyperlink ref="I534" r:id="rId533" display="https://buttondown.com/nycofftech/archive/nyc-off-tech-mid-july-updates/"/>
    <hyperlink ref="I535" r:id="rId534" display="https://buttondown.com/nycofftech/archive/nyc-off-tech-mid-july-updates/"/>
    <hyperlink ref="I536" r:id="rId535" display="https://buttondown.com/nycofftech/archive/nyc-off-tech-august/"/>
    <hyperlink ref="I537" r:id="rId536" display="https://buttondown.com/nycofftech/archive/nyc-off-tech-august/"/>
    <hyperlink ref="I538" r:id="rId537" display="https://buttondown.com/nycofftech/archive/nyc-off-tech-august/"/>
    <hyperlink ref="I539" r:id="rId538" display="https://buttondown.com/nycofftech/archive/nyc-off-tech-august/"/>
    <hyperlink ref="I540" r:id="rId539" display="https://buttondown.com/nycofftech/archive/nyc-off-tech-august/"/>
    <hyperlink ref="I541" r:id="rId540" display="https://buttondown.com/nycofftech/archive/nyc-off-tech-august/"/>
    <hyperlink ref="I542" r:id="rId541" display="https://buttondown.com/nycofftech/archive/nyc-off-tech-august/"/>
    <hyperlink ref="I543" r:id="rId542" display="https://buttondown.com/nycofftech/archive/nyc-off-tech-august/"/>
    <hyperlink ref="I544" r:id="rId543" display="https://buttondown.com/nycofftech/archive/nyc-off-tech-august/"/>
    <hyperlink ref="I545" r:id="rId544" display="https://buttondown.com/nycofftech/archive/nyc-off-tech-august/"/>
    <hyperlink ref="I546" r:id="rId545" display="https://buttondown.com/nycofftech/archive/nyc-off-tech-august/"/>
    <hyperlink ref="I547" r:id="rId546" display="https://buttondown.com/nycofftech/archive/nyc-off-tech-august/"/>
    <hyperlink ref="I548" r:id="rId547" display="https://buttondown.com/nycofftech/archive/nyc-off-tech-august/"/>
    <hyperlink ref="I549" r:id="rId548" display="https://buttondown.com/nycofftech/archive/nyc-off-tech-august/"/>
    <hyperlink ref="I550" r:id="rId549" display="https://buttondown.com/nycofftech/archive/nyc-off-tech-august/"/>
    <hyperlink ref="I551" r:id="rId550" display="https://buttondown.com/nycofftech/archive/nyc-off-tech-august/"/>
    <hyperlink ref="I552" r:id="rId551" display="https://buttondown.com/nycofftech/archive/nyc-off-tech-august/"/>
    <hyperlink ref="I553" r:id="rId552" display="https://buttondown.com/nycofftech/archive/nyc-off-tech-august/"/>
    <hyperlink ref="I554" r:id="rId553" display="https://buttondown.com/nycofftech/archive/nyc-off-tech-august/"/>
    <hyperlink ref="I555" r:id="rId554" display="https://buttondown.com/nycofftech/archive/nyc-off-tech-august/"/>
    <hyperlink ref="I556" r:id="rId555" display="https://buttondown.com/nycofftech/archive/nyc-off-tech-august/"/>
    <hyperlink ref="I557" r:id="rId556" display="https://buttondown.com/nycofftech/archive/nyc-off-tech-august/"/>
    <hyperlink ref="I558" r:id="rId557" display="https://buttondown.com/nycofftech/archive/nyc-off-tech-august/"/>
    <hyperlink ref="I559" r:id="rId558" display="https://buttondown.com/nycofftech/archive/nyc-off-tech-august/"/>
    <hyperlink ref="I560" r:id="rId559" display="https://buttondown.com/nycofftech/archive/nyc-off-tech-august/"/>
    <hyperlink ref="I561" r:id="rId560" display="https://buttondown.com/nycofftech/archive/nyc-off-tech-august/"/>
    <hyperlink ref="I562" r:id="rId561" display="https://buttondown.com/nycofftech/archive/nyc-off-tech-august/"/>
    <hyperlink ref="I563" r:id="rId562" display="https://buttondown.com/nycofftech/archive/nyc-off-tech-august/"/>
    <hyperlink ref="I564" r:id="rId563" display="https://buttondown.com/nycofftech/archive/nyc-off-tech-august/"/>
    <hyperlink ref="I565" r:id="rId564" display="https://buttondown.com/nycofftech/archive/nyc-off-tech-august/"/>
    <hyperlink ref="I566" r:id="rId565" display="https://buttondown.com/nycofftech/archive/nyc-off-tech-august/"/>
    <hyperlink ref="I567" r:id="rId566" display="https://buttondown.com/nycofftech/archive/nyc-off-tech-august/"/>
    <hyperlink ref="I568" r:id="rId567" display="https://buttondown.com/nycofftech/archive/nyc-off-tech-august/"/>
    <hyperlink ref="I569" r:id="rId568" display="https://buttondown.com/nycofftech/archive/nyc-off-tech-august/"/>
    <hyperlink ref="I570" r:id="rId569" display="https://buttondown.com/nycofftech/archive/nyc-off-tech-august/"/>
    <hyperlink ref="I571" r:id="rId570" display="https://buttondown.com/nycofftech/archive/nyc-off-tech-mid-august-updates/"/>
    <hyperlink ref="I572" r:id="rId571" display="https://buttondown.com/nycofftech/archive/nyc-off-tech-mid-august-updates/"/>
    <hyperlink ref="I573" r:id="rId572" display="https://buttondown.com/nycofftech/archive/nyc-off-tech-mid-august-updates/"/>
    <hyperlink ref="I574" r:id="rId573" display="https://buttondown.com/nycofftech/archive/nyc-off-tech-mid-august-updates/"/>
    <hyperlink ref="I575" r:id="rId574" display="https://buttondown.com/nycofftech/archive/nyc-off-tech-mid-august-updates/"/>
    <hyperlink ref="I576" r:id="rId575" display="https://buttondown.com/nycofftech/archive/nyc-off-tech-mid-august-updates/"/>
    <hyperlink ref="I577" r:id="rId576" display="https://buttondown.com/nycofftech/archive/nyc-off-tech-mid-august-updates/"/>
    <hyperlink ref="I578" r:id="rId577" display="https://buttondown.com/nycofftech/archive/nyc-off-tech-mid-august-updates/"/>
    <hyperlink ref="I579" r:id="rId578" display="https://buttondown.com/nycofftech/archive/nyc-off-tech-mid-august-updates/"/>
    <hyperlink ref="I580" r:id="rId579" display="https://buttondown.com/nycofftech/archive/nyc-off-tech-mid-august-updates/"/>
    <hyperlink ref="I581" r:id="rId580" display="https://buttondown.com/nycofftech/archive/nyc-off-tech-mid-august-updates/"/>
    <hyperlink ref="I582" r:id="rId581" display="https://buttondown.com/nycofftech/archive/nyc-off-tech-mid-august-updates/"/>
    <hyperlink ref="I583" r:id="rId582" display="https://buttondown.com/nycofftech/archive/nyc-off-tech-mid-august-updates/"/>
    <hyperlink ref="I584" r:id="rId583" display="https://buttondown.com/nycofftech/archive/nyc-off-tech-mid-august-updates/"/>
    <hyperlink ref="I585" r:id="rId584" display="https://buttondown.com/nycofftech/archive/nyc-off-tech-mid-august-updates/"/>
    <hyperlink ref="I586" r:id="rId585" display="https://buttondown.com/nycofftech/archive/nyc-off-tech-mid-august-updates/"/>
    <hyperlink ref="I587" r:id="rId586" display="https://buttondown.com/nycofftech/archive/nyc-off-tech-mid-august-updates/"/>
    <hyperlink ref="I588" r:id="rId587" display="https://buttondown.com/nycofftech/archive/nyc-off-tech-mid-august-updates/"/>
    <hyperlink ref="I589" r:id="rId588" display="https://buttondown.com/nycofftech/archive/nyc-off-tech-mid-august-updates/"/>
    <hyperlink ref="I590" r:id="rId589" display="https://buttondown.com/nycofftech/archive/nyc-off-tech-mid-august-updates/"/>
    <hyperlink ref="I591" r:id="rId590" display="https://buttondown.com/nycofftech/archive/nyc-off-tech-mid-august-updates/"/>
    <hyperlink ref="I592" r:id="rId591" display="https://buttondown.com/nycofftech/archive/nyc-off-tech-mid-august-updates/"/>
    <hyperlink ref="I593" r:id="rId592" display="https://buttondown.com/nycofftech/archive/nyc-off-tech-mid-august-updates/"/>
    <hyperlink ref="I594" r:id="rId593" display="https://buttondown.com/nycofftech/archive/nyc-off-tech-mid-august-updates/"/>
    <hyperlink ref="I595" r:id="rId594" display="https://buttondown.com/nycofftech/archive/nyc-off-tech-mid-august-updates/"/>
    <hyperlink ref="I596" r:id="rId595" display="https://buttondown.com/nycofftech/archive/nyc-off-tech-mid-august-updates/"/>
    <hyperlink ref="I597" r:id="rId596" display="https://buttondown.com/nycofftech/archive/nyc-off-tech-mid-august-updates/"/>
    <hyperlink ref="I598" r:id="rId597" display="https://buttondown.com/nycofftech/archive/nyc-off-tech-mid-august-updates/"/>
    <hyperlink ref="I599" r:id="rId598" display="https://buttondown.com/nycofftech/archive/nyc-off-tech-september/"/>
    <hyperlink ref="I600" r:id="rId599" display="https://buttondown.com/nycofftech/archive/nyc-off-tech-september/"/>
    <hyperlink ref="I601" r:id="rId600" display="https://buttondown.com/nycofftech/archive/nyc-off-tech-september/"/>
    <hyperlink ref="I602" r:id="rId601" display="https://buttondown.com/nycofftech/archive/nyc-off-tech-september/"/>
    <hyperlink ref="I603" r:id="rId602" display="https://buttondown.com/nycofftech/archive/nyc-off-tech-september/"/>
    <hyperlink ref="I604" r:id="rId603" display="https://buttondown.com/nycofftech/archive/nyc-off-tech-september/"/>
    <hyperlink ref="I605" r:id="rId604" display="https://buttondown.com/nycofftech/archive/nyc-off-tech-september/"/>
    <hyperlink ref="I606" r:id="rId605" display="https://buttondown.com/nycofftech/archive/nyc-off-tech-september/"/>
    <hyperlink ref="I607" r:id="rId606" display="https://buttondown.com/nycofftech/archive/nyc-off-tech-september/"/>
    <hyperlink ref="I608" r:id="rId607" display="https://buttondown.com/nycofftech/archive/nyc-off-tech-september/"/>
    <hyperlink ref="I609" r:id="rId608" display="https://buttondown.com/nycofftech/archive/nyc-off-tech-september/"/>
    <hyperlink ref="I610" r:id="rId609" display="https://buttondown.com/nycofftech/archive/nyc-off-tech-september/"/>
    <hyperlink ref="I611" r:id="rId610" display="https://buttondown.com/nycofftech/archive/nyc-off-tech-september/"/>
    <hyperlink ref="I612" r:id="rId611" display="https://buttondown.com/nycofftech/archive/nyc-off-tech-september/"/>
    <hyperlink ref="I613" r:id="rId612" display="https://buttondown.com/nycofftech/archive/nyc-off-tech-september/"/>
    <hyperlink ref="I614" r:id="rId613" display="https://buttondown.com/nycofftech/archive/nyc-off-tech-september/"/>
    <hyperlink ref="I615" r:id="rId614" display="https://buttondown.com/nycofftech/archive/nyc-off-tech-september/"/>
    <hyperlink ref="I616" r:id="rId615" display="https://buttondown.com/nycofftech/archive/nyc-off-tech-september/"/>
    <hyperlink ref="I617" r:id="rId616" display="https://buttondown.com/nycofftech/archive/nyc-off-tech-september/"/>
    <hyperlink ref="I618" r:id="rId617" display="https://buttondown.com/nycofftech/archive/nyc-off-tech-september/"/>
    <hyperlink ref="I619" r:id="rId618" display="https://buttondown.com/nycofftech/archive/nyc-off-tech-september/"/>
    <hyperlink ref="I620" r:id="rId619" display="https://buttondown.com/nycofftech/archive/nyc-off-tech-september/"/>
    <hyperlink ref="I621" r:id="rId620" display="https://buttondown.com/nycofftech/archive/nyc-off-tech-september/"/>
    <hyperlink ref="I622" r:id="rId621" display="https://buttondown.com/nycofftech/archive/nyc-off-tech-september/"/>
    <hyperlink ref="I623" r:id="rId622" display="https://buttondown.com/nycofftech/archive/nyc-off-tech-september/"/>
    <hyperlink ref="I624" r:id="rId623" display="https://buttondown.com/nycofftech/archive/nyc-off-tech-september/"/>
    <hyperlink ref="I625" r:id="rId624" display="https://buttondown.com/nycofftech/archive/nyc-off-tech-september/"/>
    <hyperlink ref="I626" r:id="rId625" display="https://buttondown.com/nycofftech/archive/nyc-off-tech-september/"/>
    <hyperlink ref="I627" r:id="rId626" display="https://buttondown.com/nycofftech/archive/nyc-off-tech-september/"/>
    <hyperlink ref="I628" r:id="rId627" display="https://buttondown.com/nycofftech/archive/nyc-off-tech-september/"/>
    <hyperlink ref="I629" r:id="rId628" display="https://buttondown.com/nycofftech/archive/nyc-off-tech-september/"/>
    <hyperlink ref="I630" r:id="rId629" display="https://buttondown.com/nycofftech/archive/nyc-off-tech-september/"/>
    <hyperlink ref="I631" r:id="rId630" display="https://buttondown.com/nycofftech/archive/nyc-off-tech-september/"/>
    <hyperlink ref="I632" r:id="rId631" display="https://buttondown.com/nycofftech/archive/nyc-off-tech-september/"/>
    <hyperlink ref="I633" r:id="rId632" display="https://buttondown.com/nycofftech/archive/nyc-off-tech-september/"/>
    <hyperlink ref="I634" r:id="rId633" display="https://buttondown.com/nycofftech/archive/nyc-off-tech-september/"/>
    <hyperlink ref="I635" r:id="rId634" display="https://buttondown.com/nycofftech/archive/nyc-off-tech-september/"/>
    <hyperlink ref="I636" r:id="rId635" display="https://buttondown.com/nycofftech/archive/nyc-off-tech-september/"/>
    <hyperlink ref="I637" r:id="rId636" display="https://buttondown.com/nycofftech/archive/nyc-off-tech-september/"/>
    <hyperlink ref="I638" r:id="rId637" display="https://buttondown.com/nycofftech/archive/nyc-off-tech-september/"/>
    <hyperlink ref="I639" r:id="rId638" display="https://buttondown.com/nycofftech/archive/nyc-off-tech-september/"/>
    <hyperlink ref="I640" r:id="rId639" display="https://buttondown.com/nycofftech/archive/nyc-off-tech-september/"/>
    <hyperlink ref="I641" r:id="rId640" display="https://buttondown.com/nycofftech/archive/nyc-off-tech-september/"/>
    <hyperlink ref="I642" r:id="rId641" display="https://buttondown.com/nycofftech/archive/nyc-off-tech-september/"/>
    <hyperlink ref="I643" r:id="rId642" display="https://buttondown.com/nycofftech/archive/nyc-off-tech-mid-september-updates/"/>
    <hyperlink ref="I644" r:id="rId643" display="https://buttondown.com/nycofftech/archive/nyc-off-tech-mid-september-updates/"/>
    <hyperlink ref="I645" r:id="rId644" display="https://buttondown.com/nycofftech/archive/nyc-off-tech-mid-september-updates/"/>
    <hyperlink ref="I646" r:id="rId645" display="https://buttondown.com/nycofftech/archive/nyc-off-tech-mid-september-updates/"/>
    <hyperlink ref="I647" r:id="rId646" display="https://buttondown.com/nycofftech/archive/nyc-off-tech-mid-september-updates/"/>
    <hyperlink ref="I648" r:id="rId647" display="https://buttondown.com/nycofftech/archive/nyc-off-tech-mid-september-updates/"/>
    <hyperlink ref="I649" r:id="rId648" display="https://buttondown.com/nycofftech/archive/nyc-off-tech-mid-september-updates/"/>
    <hyperlink ref="I650" r:id="rId649" display="https://buttondown.com/nycofftech/archive/nyc-off-tech-mid-september-updates/"/>
    <hyperlink ref="I651" r:id="rId650" display="https://buttondown.com/nycofftech/archive/nyc-off-tech-mid-september-updates/"/>
    <hyperlink ref="I652" r:id="rId651" display="https://buttondown.com/nycofftech/archive/nyc-off-tech-mid-september-updates/"/>
    <hyperlink ref="I653" r:id="rId652" display="https://buttondown.com/nycofftech/archive/nyc-off-tech-mid-september-updates/"/>
    <hyperlink ref="I654" r:id="rId653" display="https://buttondown.com/nycofftech/archive/nyc-off-tech-mid-september-updates/"/>
    <hyperlink ref="I655" r:id="rId654" display="https://buttondown.com/nycofftech/archive/nyc-off-tech-mid-september-updates/"/>
    <hyperlink ref="I656" r:id="rId655" display="https://buttondown.com/nycofftech/archive/nyc-off-tech-mid-september-updates/"/>
    <hyperlink ref="I657" r:id="rId656" display="https://buttondown.com/nycofftech/archive/nyc-off-tech-mid-september-updates/"/>
    <hyperlink ref="I658" r:id="rId657" display="https://buttondown.com/nycofftech/archive/nyc-off-tech-mid-september-updates/"/>
    <hyperlink ref="I659" r:id="rId658" display="https://buttondown.com/nycofftech/archive/nyc-off-tech-mid-september-updates/"/>
    <hyperlink ref="I660" r:id="rId659" display="https://buttondown.com/nycofftech/archive/nyc-off-tech-mid-september-updates/"/>
    <hyperlink ref="I661" r:id="rId660" display="https://buttondown.com/nycofftech/archive/nyc-off-tech-mid-september-updates/"/>
    <hyperlink ref="I662" r:id="rId661" display="https://buttondown.com/nycofftech/archive/nyc-off-tech-mid-september-updates/"/>
    <hyperlink ref="I663" r:id="rId662" display="https://buttondown.com/nycofftech/archive/nyc-off-tech-mid-september-updates/"/>
    <hyperlink ref="I664" r:id="rId663" display="https://buttondown.com/nycofftech/archive/nyc-off-tech-mid-september-updates/"/>
    <hyperlink ref="I665" r:id="rId664" display="https://buttondown.com/nycofftech/archive/nyc-off-tech-mid-september-updates/"/>
    <hyperlink ref="I666" r:id="rId665" display="https://buttondown.com/nycofftech/archive/nyc-off-tech-mid-september-updates/"/>
    <hyperlink ref="I667" r:id="rId666" display="https://buttondown.com/nycofftech/archive/nyc-off-tech-mid-september-updates/"/>
    <hyperlink ref="I668" r:id="rId667" display="https://buttondown.com/nycofftech/archive/nyc-off-tech-mid-september-updates/"/>
    <hyperlink ref="I669" r:id="rId668" display="https://buttondown.com/nycofftech/archive/nyc-off-tech-mid-september-updates/"/>
    <hyperlink ref="I670" r:id="rId669" display="https://buttondown.com/nycofftech/archive/nyc-off-tech-mid-september-updates/"/>
    <hyperlink ref="I671" r:id="rId670" display="https://buttondown.com/nycofftech/archive/nyc-off-tech-mid-september-updates/"/>
    <hyperlink ref="I672" r:id="rId671" display="https://buttondown.com/nycofftech/archive/nyc-off-tech-mid-september-updates/"/>
    <hyperlink ref="I673" r:id="rId672" display="https://buttondown.com/nycofftech/archive/nyc-off-tech-mid-september-updates/"/>
    <hyperlink ref="I674" r:id="rId673" display="https://buttondown.com/nycofftech/archive/nyc-off-tech-mid-september-updates/"/>
    <hyperlink ref="I675" r:id="rId674" display="https://buttondown.com/nycofftech/archive/nyc-off-tech-mid-september-updates/"/>
    <hyperlink ref="I676" r:id="rId675" display="https://buttondown.com/nycofftech/archive/nyc-off-tech-mid-september-updates/"/>
    <hyperlink ref="I677" r:id="rId676" display="https://buttondown.com/nycofftech/archive/nyc-off-tech-mid-september-updates/"/>
    <hyperlink ref="I678" r:id="rId677" display="https://buttondown.com/nycofftech/archive/nyc-off-tech-mid-september-updates/"/>
    <hyperlink ref="I679" r:id="rId678" display="https://buttondown.com/nycofftech/archive/nyc-off-tech-mid-september-updates/"/>
    <hyperlink ref="I680" r:id="rId679" display="https://buttondown.com/nycofftech/archive/nyc-off-tech-mid-september-updates/"/>
    <hyperlink ref="I681" r:id="rId680" display="https://buttondown.com/nycofftech/archive/nyc-off-tech-mid-september-updates/"/>
    <hyperlink ref="I682" r:id="rId681" display="https://buttondown.com/nycofftech/archive/nyc-off-tech-mid-september-updates/"/>
    <hyperlink ref="I683" r:id="rId682" display="https://buttondown.com/nycofftech/archive/nyc-off-tech-mid-september-updates/"/>
    <hyperlink ref="I684" r:id="rId683" display="https://buttondown.com/nycofftech/archive/nyc-off-tech-mid-september-updates/"/>
    <hyperlink ref="I685" r:id="rId684" display="https://buttondown.com/nycofftech/archive/nyc-off-tech-mid-september-updates/"/>
    <hyperlink ref="I686" r:id="rId685" display="https://buttondown.com/nycofftech/archive/nyc-off-tech-mid-september-updates/"/>
    <hyperlink ref="I687" r:id="rId686" display="https://buttondown.com/nycofftech/archive/nyc-off-tech-mid-september-updates/"/>
    <hyperlink ref="I688" r:id="rId687" display="https://buttondown.com/nycofftech/archive/nyc-off-tech-mid-september-updates/"/>
    <hyperlink ref="I689" r:id="rId688" display="https://buttondown.com/nycofftech/archive/nyc-off-tech-mid-september-updates/"/>
    <hyperlink ref="I690" r:id="rId689" display="https://buttondown.com/nycofftech/archive/nyc-off-tech-mid-september-updates/"/>
    <hyperlink ref="I691" r:id="rId690" display="https://buttondown.com/nycofftech/archive/nyc-off-tech-mid-september-updates/"/>
    <hyperlink ref="I692" r:id="rId691" display="https://buttondown.com/nycofftech/archive/nyc-off-tech-mid-september-updates/"/>
    <hyperlink ref="I693" r:id="rId692" display="https://buttondown.com/nycofftech/archive/nyc-off-tech-mid-september-updates/"/>
    <hyperlink ref="I694" r:id="rId693" display="https://buttondown.com/nycofftech/archive/nyc-off-tech-mid-september-updates/"/>
    <hyperlink ref="I695" r:id="rId694" display="https://buttondown.com/nycofftech/archive/nyc-off-tech-mid-september-updates/"/>
    <hyperlink ref="I696" r:id="rId695" display="https://buttondown.com/nycofftech/archive/nyc-off-tech-october-26/"/>
    <hyperlink ref="I697" r:id="rId696" display="https://buttondown.com/nycofftech/archive/nyc-off-tech-october-26/"/>
    <hyperlink ref="I698" r:id="rId697" display="https://buttondown.com/nycofftech/archive/nyc-off-tech-october-26/"/>
    <hyperlink ref="I699" r:id="rId698" display="https://buttondown.com/nycofftech/archive/nyc-off-tech-october-26/"/>
    <hyperlink ref="I700" r:id="rId699" display="https://buttondown.com/nycofftech/archive/nyc-off-tech-october-26/"/>
    <hyperlink ref="I701" r:id="rId700" display="https://buttondown.com/nycofftech/archive/nyc-off-tech-october-26/"/>
    <hyperlink ref="I702" r:id="rId701" display="https://buttondown.com/nycofftech/archive/nyc-off-tech-october-26/"/>
    <hyperlink ref="I703" r:id="rId702" display="https://buttondown.com/nycofftech/archive/nyc-off-tech-october-26/"/>
    <hyperlink ref="I704" r:id="rId703" display="https://buttondown.com/nycofftech/archive/nyc-off-tech-october-26/"/>
    <hyperlink ref="I705" r:id="rId704" display="https://buttondown.com/nycofftech/archive/nyc-off-tech-october-26/"/>
    <hyperlink ref="I706" r:id="rId705" display="https://buttondown.com/nycofftech/archive/nyc-off-tech-october-26/"/>
    <hyperlink ref="I707" r:id="rId706" display="https://buttondown.com/nycofftech/archive/nyc-off-tech-october-26/"/>
    <hyperlink ref="I708" r:id="rId707" display="https://buttondown.com/nycofftech/archive/nyc-off-tech-october-26/"/>
    <hyperlink ref="I709" r:id="rId708" display="https://buttondown.com/nycofftech/archive/nyc-off-tech-october-26/"/>
    <hyperlink ref="I710" r:id="rId709" display="https://buttondown.com/nycofftech/archive/nyc-off-tech-october-26/"/>
    <hyperlink ref="I711" r:id="rId710" display="https://buttondown.com/nycofftech/archive/nyc-off-tech-october-26/"/>
    <hyperlink ref="I712" r:id="rId711" display="https://buttondown.com/nycofftech/archive/nyc-off-tech-october-26/"/>
    <hyperlink ref="I713" r:id="rId712" display="https://buttondown.com/nycofftech/archive/nyc-off-tech-october-26/"/>
    <hyperlink ref="I714" r:id="rId713" display="https://buttondown.com/nycofftech/archive/nyc-off-tech-october-26/"/>
    <hyperlink ref="I715" r:id="rId714" display="https://buttondown.com/nycofftech/archive/nyc-off-tech-october-26/"/>
    <hyperlink ref="I716" r:id="rId715" display="https://buttondown.com/nycofftech/archive/nyc-off-tech-october-26/"/>
    <hyperlink ref="I717" r:id="rId716" display="https://buttondown.com/nycofftech/archive/nyc-off-tech-october-26/"/>
    <hyperlink ref="I718" r:id="rId717" display="https://buttondown.com/nycofftech/archive/nyc-off-tech-october-26/"/>
    <hyperlink ref="I719" r:id="rId718" display="https://buttondown.com/nycofftech/archive/nyc-off-tech-october-26/"/>
    <hyperlink ref="I720" r:id="rId719" display="https://buttondown.com/nycofftech/archive/nyc-off-tech-october-26/"/>
    <hyperlink ref="I721" r:id="rId720" display="https://buttondown.com/nycofftech/archive/nyc-off-tech-october-26/"/>
    <hyperlink ref="I722" r:id="rId721" display="https://buttondown.com/nycofftech/archive/nyc-off-tech-october-26/"/>
    <hyperlink ref="I723" r:id="rId722" display="https://buttondown.com/nycofftech/archive/nyc-off-tech-october-26/"/>
    <hyperlink ref="I724" r:id="rId723" display="https://buttondown.com/nycofftech/archive/nyc-off-tech-october-26/"/>
    <hyperlink ref="I725" r:id="rId724" display="https://buttondown.com/nycofftech/archive/nyc-off-tech-october-26/"/>
    <hyperlink ref="I726" r:id="rId725" display="https://buttondown.com/nycofftech/archive/nyc-off-tech-october-26/"/>
    <hyperlink ref="I727" r:id="rId726" display="https://buttondown.com/nycofftech/archive/nyc-off-tech-october-26/"/>
    <hyperlink ref="I728" r:id="rId727" display="https://buttondown.com/nycofftech/archive/nyc-off-tech-october-26/"/>
    <hyperlink ref="I729" r:id="rId728" display="https://buttondown.com/nycofftech/archive/nyc-off-tech-october-26/"/>
    <hyperlink ref="I730" r:id="rId729" display="https://buttondown.com/nycofftech/archive/nyc-off-tech-october-26/"/>
    <hyperlink ref="I731" r:id="rId730" display="https://buttondown.com/nycofftech/archive/nyc-off-tech-october-26/"/>
    <hyperlink ref="I732" r:id="rId731" display="https://buttondown.com/nycofftech/archive/nyc-off-tech-october-26/"/>
    <hyperlink ref="I733" r:id="rId732" display="https://buttondown.com/nycofftech/archive/nyc-off-tech-october-26/"/>
    <hyperlink ref="I734" r:id="rId733" display="https://buttondown.com/nycofftech/archive/nyc-off-tech-october-26/"/>
    <hyperlink ref="I735" r:id="rId734" display="https://buttondown.com/nycofftech/archive/nyc-off-tech-october-26/"/>
    <hyperlink ref="I736" r:id="rId735" display="https://buttondown.com/nycofftech/archive/nyc-off-tech-october-26/"/>
    <hyperlink ref="I737" r:id="rId736" display="https://buttondown.com/nycofftech/archive/nyc-off-tech-october-26/"/>
    <hyperlink ref="I738" r:id="rId737" display="https://buttondown.com/nycofftech/archive/nyc-off-tech-october-26/"/>
    <hyperlink ref="I739" r:id="rId738" display="https://buttondown.com/nycofftech/archive/nyc-off-tech-october-26/"/>
    <hyperlink ref="I740" r:id="rId739" display="https://buttondown.com/nycofftech/archive/nyc-off-tech-october-26/"/>
    <hyperlink ref="I741" r:id="rId740" display="https://buttondown.com/nycofftech/archive/nyc-off-tech-october-26/"/>
    <hyperlink ref="I742" r:id="rId741" display="https://buttondown.com/nycofftech/archive/nyc-off-tech-october-26/"/>
    <hyperlink ref="I743" r:id="rId742" display="https://buttondown.com/nycofftech/archive/nyc-off-tech-october-26/"/>
    <hyperlink ref="I744" r:id="rId743" display="https://buttondown.com/nycofftech/archive/nyc-off-tech-october-26/"/>
    <hyperlink ref="I745" r:id="rId744" display="https://buttondown.com/nycofftech/archive/nyc-off-tech-october-26/"/>
    <hyperlink ref="I746" r:id="rId745" display="https://buttondown.com/nycofftech/archive/nyc-off-tech-october-26/"/>
    <hyperlink ref="I747" r:id="rId746" display="https://buttondown.com/nycofftech/archive/nyc-off-tech-october-26/"/>
    <hyperlink ref="I748" r:id="rId747" display="https://buttondown.com/nycofftech/archive/nyc-off-tech-october-26/"/>
    <hyperlink ref="I749" r:id="rId748" display="https://buttondown.com/nycofftech/archive/nyc-off-tech-october-26/"/>
    <hyperlink ref="I750" r:id="rId749" display="https://buttondown.com/nycofftech/archive/nyc-off-tech-october-26/"/>
    <hyperlink ref="I751" r:id="rId750" display="https://buttondown.com/nycofftech/archive/nyc-off-tech-october-26/"/>
    <hyperlink ref="I752" r:id="rId751" display="https://buttondown.com/nycofftech/archive/nyc-off-tech-october-26/"/>
    <hyperlink ref="I753" r:id="rId752" display="https://buttondown.com/nycofftech/archive/nyc-off-tech-october-26/"/>
    <hyperlink ref="I754" r:id="rId753" display="https://buttondown.com/nycofftech/archive/nyc-off-tech-october-26/"/>
    <hyperlink ref="I755" r:id="rId754" display="https://buttondown.com/nycofftech/archive/nyc-off-tech-mid-october-updates-26/"/>
    <hyperlink ref="I756" r:id="rId755" display="https://buttondown.com/nycofftech/archive/nyc-off-tech-mid-october-updates-26/"/>
    <hyperlink ref="I757" r:id="rId756" display="https://buttondown.com/nycofftech/archive/nyc-off-tech-mid-october-updates-26/"/>
    <hyperlink ref="I758" r:id="rId757" display="https://buttondown.com/nycofftech/archive/nyc-off-tech-mid-october-updates-26/"/>
    <hyperlink ref="I759" r:id="rId758" display="https://buttondown.com/nycofftech/archive/nyc-off-tech-mid-october-updates-26/"/>
    <hyperlink ref="I760" r:id="rId759" display="https://buttondown.com/nycofftech/archive/nyc-off-tech-mid-october-updates-26/"/>
    <hyperlink ref="I761" r:id="rId760" display="https://buttondown.com/nycofftech/archive/nyc-off-tech-mid-october-updates-26/"/>
    <hyperlink ref="I762" r:id="rId761" display="https://buttondown.com/nycofftech/archive/nyc-off-tech-mid-october-updates-26/"/>
    <hyperlink ref="I763" r:id="rId762" display="https://buttondown.com/nycofftech/archive/nyc-off-tech-mid-october-updates-26/"/>
    <hyperlink ref="I764" r:id="rId763" display="https://buttondown.com/nycofftech/archive/nyc-off-tech-mid-october-updates-26/"/>
    <hyperlink ref="I765" r:id="rId764" display="https://buttondown.com/nycofftech/archive/nyc-off-tech-mid-october-updates-26/"/>
    <hyperlink ref="I766" r:id="rId765" display="https://buttondown.com/nycofftech/archive/nyc-off-tech-mid-october-updates-26/"/>
    <hyperlink ref="I767" r:id="rId766" display="https://buttondown.com/nycofftech/archive/nyc-off-tech-mid-october-updates-26/"/>
    <hyperlink ref="I768" r:id="rId767" display="https://buttondown.com/nycofftech/archive/nyc-off-tech-mid-october-updates-26/"/>
    <hyperlink ref="I769" r:id="rId768" display="https://buttondown.com/nycofftech/archive/nyc-off-tech-mid-october-updates-26/"/>
    <hyperlink ref="I770" r:id="rId769" display="https://buttondown.com/nycofftech/archive/nyc-off-tech-mid-october-updates-26/"/>
    <hyperlink ref="I771" r:id="rId770" display="https://buttondown.com/nycofftech/archive/nyc-off-tech-mid-october-updates-26/"/>
    <hyperlink ref="I772" r:id="rId771" display="https://buttondown.com/nycofftech/archive/nyc-off-tech-mid-october-updates-26/"/>
    <hyperlink ref="I773" r:id="rId772" display="https://buttondown.com/nycofftech/archive/nyc-off-tech-mid-october-updates-26/"/>
    <hyperlink ref="I774" r:id="rId773" display="https://buttondown.com/nycofftech/archive/nyc-off-tech-mid-october-updates-26/"/>
    <hyperlink ref="I775" r:id="rId774" display="https://buttondown.com/nycofftech/archive/nyc-off-tech-mid-october-updates-26/"/>
    <hyperlink ref="I776" r:id="rId775" display="https://buttondown.com/nycofftech/archive/nyc-off-tech-mid-october-updates-26/"/>
    <hyperlink ref="I777" r:id="rId776" display="https://buttondown.com/nycofftech/archive/nyc-off-tech-mid-october-updates-26/"/>
    <hyperlink ref="I778" r:id="rId777" display="https://buttondown.com/nycofftech/archive/nyc-off-tech-mid-october-updates-26/"/>
    <hyperlink ref="I779" r:id="rId778" display="https://buttondown.com/nycofftech/archive/nyc-off-tech-mid-october-updates-26/"/>
    <hyperlink ref="I780" r:id="rId779" display="https://buttondown.com/nycofftech/archive/nyc-off-tech-mid-october-updates-26/"/>
    <hyperlink ref="I781" r:id="rId780" display="https://buttondown.com/nycofftech/archive/nyc-off-tech-mid-october-updates-26/"/>
    <hyperlink ref="I782" r:id="rId781" display="https://buttondown.com/nycofftech/archive/nyc-off-tech-mid-october-updates-26/"/>
    <hyperlink ref="I783" r:id="rId782" display="https://buttondown.com/nycofftech/archive/nyc-off-tech-mid-october-updates-26/"/>
    <hyperlink ref="I784" r:id="rId783" display="https://buttondown.com/nycofftech/archive/nyc-off-tech-mid-october-updates-26/"/>
    <hyperlink ref="I785" r:id="rId784" display="https://buttondown.com/nycofftech/archive/nyc-off-tech-mid-october-updates-26/"/>
    <hyperlink ref="I786" r:id="rId785" display="https://buttondown.com/nycofftech/archive/nyc-off-tech-mid-october-updates-26/"/>
    <hyperlink ref="I787" r:id="rId786" display="https://buttondown.com/nycofftech/archive/nyc-off-tech-mid-october-updates-26/"/>
    <hyperlink ref="I788" r:id="rId787" display="https://buttondown.com/nycofftech/archive/nyc-off-tech-mid-october-updates-26/"/>
    <hyperlink ref="I789" r:id="rId788" display="https://buttondown.com/nycofftech/archive/nyc-off-tech-mid-october-updates-26/"/>
    <hyperlink ref="I790" r:id="rId789" display="https://buttondown.com/nycofftech/archive/nyc-off-tech-mid-october-updates-26/"/>
    <hyperlink ref="I791" r:id="rId790" display="https://buttondown.com/nycofftech/archive/nyc-off-tech-mid-october-updates-26/"/>
    <hyperlink ref="I792" r:id="rId791" display="https://buttondown.com/nycofftech/archive/nyc-off-tech-mid-october-updates-26/"/>
    <hyperlink ref="I793" r:id="rId792" display="https://buttondown.com/nycofftech/archive/nyc-off-tech-mid-october-updates-26/"/>
    <hyperlink ref="I794" r:id="rId793" display="https://buttondown.com/nycofftech/archive/nyc-off-tech-mid-october-updates-26/"/>
    <hyperlink ref="I795" r:id="rId794" display="https://buttondown.com/nycofftech/archive/nyc-off-tech-mid-october-updates-26/"/>
    <hyperlink ref="I796" r:id="rId795" display="https://buttondown.com/nycofftech/archive/nyc-off-tech-mid-october-updates-26/"/>
    <hyperlink ref="I797" r:id="rId796" display="https://buttondown.com/nycofftech/archive/nyc-off-tech-mid-october-updates-2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9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1" t="s">
        <v>1015</v>
      </c>
    </row>
    <row r="3" customFormat="false" ht="23.85" hidden="false" customHeight="false" outlineLevel="0" collapsed="false">
      <c r="A3" s="12" t="s">
        <v>1016</v>
      </c>
      <c r="B3" s="13" t="s">
        <v>1017</v>
      </c>
    </row>
    <row r="4" customFormat="false" ht="23.85" hidden="false" customHeight="false" outlineLevel="0" collapsed="false">
      <c r="A4" s="12" t="s">
        <v>1018</v>
      </c>
      <c r="B4" s="13" t="s">
        <v>1019</v>
      </c>
    </row>
    <row r="5" customFormat="false" ht="15" hidden="false" customHeight="false" outlineLevel="0" collapsed="false">
      <c r="A5" s="12" t="s">
        <v>1020</v>
      </c>
      <c r="B5" s="13" t="s">
        <v>1021</v>
      </c>
    </row>
    <row r="6" customFormat="false" ht="15" hidden="false" customHeight="false" outlineLevel="0" collapsed="false">
      <c r="A6" s="12" t="s">
        <v>1022</v>
      </c>
      <c r="B6" s="13" t="s">
        <v>1023</v>
      </c>
    </row>
    <row r="7" customFormat="false" ht="35.05" hidden="false" customHeight="false" outlineLevel="0" collapsed="false">
      <c r="A7" s="12" t="s">
        <v>12</v>
      </c>
      <c r="B7" s="13" t="s">
        <v>1024</v>
      </c>
    </row>
    <row r="8" customFormat="false" ht="46.25" hidden="false" customHeight="false" outlineLevel="0" collapsed="false">
      <c r="A8" s="12" t="s">
        <v>1025</v>
      </c>
      <c r="B8" s="13" t="s">
        <v>1026</v>
      </c>
    </row>
    <row r="9" customFormat="false" ht="23.85" hidden="false" customHeight="false" outlineLevel="0" collapsed="false">
      <c r="A9" s="12" t="s">
        <v>1027</v>
      </c>
      <c r="B9" s="13" t="s">
        <v>1028</v>
      </c>
    </row>
    <row r="10" customFormat="false" ht="23.85" hidden="false" customHeight="false" outlineLevel="0" collapsed="false">
      <c r="A10" s="12" t="s">
        <v>1029</v>
      </c>
      <c r="B10" s="13" t="s">
        <v>1030</v>
      </c>
    </row>
    <row r="11" customFormat="false" ht="23.85" hidden="false" customHeight="false" outlineLevel="0" collapsed="false">
      <c r="A11" s="12" t="s">
        <v>262</v>
      </c>
      <c r="B11" s="13" t="s">
        <v>1031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2026-10-26T19:21:51Z</dcterms:created>
  <dc:creator>openpyxl</dc:creator>
  <dc:description/>
  <dc:language>en-US</dc:language>
  <cp:lastModifiedBy/>
  <dcterms:modified xsi:type="dcterms:W3CDTF">2026-10-26T19:21:51Z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